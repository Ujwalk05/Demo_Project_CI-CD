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d Input Form" sheetId="1" state="visible" r:id="rId2"/>
    <sheet name="validationInfo" sheetId="2" state="hidden" r:id="rId3"/>
  </sheets>
  <definedNames>
    <definedName function="false" hidden="true" localSheetId="0" name="_xlnm._FilterDatabase" vbProcedure="false">'Bid Input Form'!$B$5:$AS$99</definedName>
    <definedName function="false" hidden="false" name="number_of_trans_shipmentsLotInformation" vbProcedure="false">validationInfo!$B$1:$B$4</definedName>
    <definedName function="false" hidden="false" name="origin_transportation_modeLotInformation" vbProcedure="false">validationInfo!$A$1:$A$3</definedName>
    <definedName function="false" hidden="false" name="sailings_per_weekLotInformation" vbProcedure="false">validationInfo!$C$1:$C$7</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B4" authorId="0">
      <text>
        <r>
          <rPr>
            <sz val="10"/>
            <color rgb="FF000000"/>
            <rFont val="Arial"/>
            <family val="0"/>
            <charset val="1"/>
          </rPr>
          <t xml:space="preserve">======
ID#AAAAZp-t0Hw
TRX-APP12$    (2022-05-24 11:13:50)
This is the unique identifier for this lane item. When communicating with the K-C team, please reference this identifier</t>
        </r>
      </text>
    </comment>
    <comment ref="C4" authorId="0">
      <text>
        <r>
          <rPr>
            <sz val="10"/>
            <color rgb="FF000000"/>
            <rFont val="Arial"/>
            <family val="0"/>
            <charset val="1"/>
          </rPr>
          <t xml:space="preserve">======
ID#AAAAZp-t0F8
Booth, Andrew M    (2022-05-24 11:13:50)
This is the K-C region that is responsible for awarding the lane.</t>
        </r>
      </text>
    </comment>
    <comment ref="D4" authorId="0">
      <text>
        <r>
          <rPr>
            <sz val="10"/>
            <color rgb="FF000000"/>
            <rFont val="Arial"/>
            <family val="0"/>
            <charset val="1"/>
          </rPr>
          <t xml:space="preserve">======
ID#AAAAZp-t0IY
Booth, Andrew M    (2022-05-24 11:13:50)
This is an overall summary of the origin, destination, and equipment type for the lane.</t>
        </r>
      </text>
    </comment>
    <comment ref="E4" authorId="0">
      <text>
        <r>
          <rPr>
            <sz val="10"/>
            <color rgb="FF000000"/>
            <rFont val="Arial"/>
            <family val="0"/>
            <charset val="1"/>
          </rPr>
          <t xml:space="preserve">======
ID#AAAAZp-t0Gk
Booth, Andrew M    (2022-05-24 11:13:50)
This specifies what portion of the transportation the carrier is responsible for arranging.</t>
        </r>
      </text>
    </comment>
    <comment ref="F4" authorId="0">
      <text>
        <r>
          <rPr>
            <sz val="10"/>
            <color rgb="FF000000"/>
            <rFont val="Arial"/>
            <family val="0"/>
            <charset val="1"/>
          </rPr>
          <t xml:space="preserve">======
ID#AAAAZp-t0Ic
Booth, Andrew M    (2022-05-24 11:13:50)
This specifies what portion of the transportation the carrier is responsible for arranging.</t>
        </r>
      </text>
    </comment>
    <comment ref="H4" authorId="0">
      <text>
        <r>
          <rPr>
            <sz val="10"/>
            <color rgb="FF000000"/>
            <rFont val="Arial"/>
            <family val="0"/>
            <charset val="1"/>
          </rPr>
          <t xml:space="preserve">======
ID#AAAAZp-t0IQ
Booth, Andrew M    (2022-05-24 11:13:50)
This is the region from which the shipment will depart.</t>
        </r>
      </text>
    </comment>
    <comment ref="I4" authorId="0">
      <text>
        <r>
          <rPr>
            <sz val="10"/>
            <color rgb="FF000000"/>
            <rFont val="Arial"/>
            <family val="0"/>
            <charset val="1"/>
          </rPr>
          <t xml:space="preserve">======
ID#AAAAZp-t0H4
Booth, Andrew M    (2022-05-24 11:13:50)
This is the country from which the shipment will depart.</t>
        </r>
      </text>
    </comment>
    <comment ref="J4" authorId="0">
      <text>
        <r>
          <rPr>
            <sz val="10"/>
            <color rgb="FF000000"/>
            <rFont val="Arial"/>
            <family val="0"/>
            <charset val="1"/>
          </rPr>
          <t xml:space="preserve">======
ID#AAAAZp-t0H8
Booth, Andrew M    (2022-05-24 11:13:50)
For "Door to Door" and "Door to Port" moves, this is the City from which the shipment will depart. For "Port to Port" and "Port to Door" moves this is the Port from which the shipment will depart.</t>
        </r>
      </text>
    </comment>
    <comment ref="K4" authorId="0">
      <text>
        <r>
          <rPr>
            <sz val="10"/>
            <color rgb="FF000000"/>
            <rFont val="Arial"/>
            <family val="0"/>
            <charset val="1"/>
          </rPr>
          <t xml:space="preserve">======
ID#AAAAZp-t0Hg
Booth, Andrew M    (2022-05-24 11:13:50)
This is the region to which the shipment will arrive.</t>
        </r>
      </text>
    </comment>
    <comment ref="L4" authorId="0">
      <text>
        <r>
          <rPr>
            <sz val="10"/>
            <color rgb="FF000000"/>
            <rFont val="Arial"/>
            <family val="0"/>
            <charset val="1"/>
          </rPr>
          <t xml:space="preserve">======
ID#AAAAZp-t0HQ
Booth, Andrew M    (2022-05-24 11:13:50)
This is the country to which the shipment will arrive.</t>
        </r>
      </text>
    </comment>
    <comment ref="M4" authorId="0">
      <text>
        <r>
          <rPr>
            <sz val="10"/>
            <color rgb="FF000000"/>
            <rFont val="Arial"/>
            <family val="0"/>
            <charset val="1"/>
          </rPr>
          <t xml:space="preserve">======
ID#AAAAZp-t0Gs
Booth, Andrew M    (2022-05-24 11:13:50)
For "Door to Door" and "Port to Door" moves, this is the City to which the shipment will be delivered. For "Port to Port" and "Door to Port" moves this is the Port to which the shipment will arrive.</t>
        </r>
      </text>
    </comment>
    <comment ref="N4" authorId="0">
      <text>
        <r>
          <rPr>
            <sz val="10"/>
            <color rgb="FF000000"/>
            <rFont val="Arial"/>
            <family val="0"/>
            <charset val="1"/>
          </rPr>
          <t xml:space="preserve">======
ID#AAAAZp-t0Go
Booth, Andrew M    (2022-05-24 11:13:50)
This is the container type to be used for this lane.</t>
        </r>
      </text>
    </comment>
    <comment ref="O4" authorId="0">
      <text>
        <r>
          <rPr>
            <sz val="10"/>
            <color rgb="FF000000"/>
            <rFont val="Arial"/>
            <family val="0"/>
            <charset val="1"/>
          </rPr>
          <t xml:space="preserve">======
ID#AAAAZp-t0IU
Booth, Andrew M    (2022-05-24 11:13:50)
These are any special requirements for the lane item as determined by the regions. Please take note of any of these requirements and bid accordingly.</t>
        </r>
      </text>
    </comment>
    <comment ref="V4" authorId="0">
      <text>
        <r>
          <rPr>
            <sz val="10"/>
            <color rgb="FF000000"/>
            <rFont val="Arial"/>
            <family val="0"/>
            <charset val="1"/>
          </rPr>
          <t xml:space="preserve">======
ID#AAAAZp-t0GU
Booth, Andrew M    (2022-05-24 11:13:50)
This is the estimated number of containers that will move in this lane on an annual basis.</t>
        </r>
      </text>
    </comment>
    <comment ref="W4" authorId="0">
      <text>
        <r>
          <rPr>
            <sz val="10"/>
            <color rgb="FF000000"/>
            <rFont val="Arial"/>
            <family val="0"/>
            <charset val="1"/>
          </rPr>
          <t xml:space="preserve">======
ID#AAAAZp-t0GE
Streeter, Ronald    (2022-05-24 11:13:50)
Volume segregated by 40 foot and 40 foot High Cube</t>
        </r>
      </text>
    </comment>
    <comment ref="AB4" authorId="0">
      <text>
        <r>
          <rPr>
            <sz val="10"/>
            <color rgb="FF000000"/>
            <rFont val="Arial"/>
            <family val="0"/>
            <charset val="1"/>
          </rPr>
          <t xml:space="preserve">======
ID#AAAAZp-t0H0
Booth, Andrew M    (2022-05-24 11:13:50)
This is the BAF charge that will be applied to each lane item.</t>
        </r>
      </text>
    </comment>
    <comment ref="AC4" authorId="0">
      <text>
        <r>
          <rPr>
            <sz val="10"/>
            <color rgb="FF000000"/>
            <rFont val="Arial"/>
            <family val="0"/>
            <charset val="1"/>
          </rPr>
          <t xml:space="preserve">======
ID#AAAAZp-t0IM
Booth, Andrew M    (2022-05-24 11:13:50)
For service types where it applies, please specify the origin landside haulage charge that will be included in the rate structure here</t>
        </r>
      </text>
    </comment>
    <comment ref="AD4" authorId="0">
      <text>
        <r>
          <rPr>
            <sz val="10"/>
            <color rgb="FF000000"/>
            <rFont val="Arial"/>
            <family val="0"/>
            <charset val="1"/>
          </rPr>
          <t xml:space="preserve">======
ID#AAAAZp-t0HE
Booth, Andrew M    (2022-05-24 11:13:50)
This is the currency that the Origin Terminal Handling Charge must be quoted in.</t>
        </r>
      </text>
    </comment>
    <comment ref="AE4" authorId="0">
      <text>
        <r>
          <rPr>
            <sz val="10"/>
            <color rgb="FF000000"/>
            <rFont val="Arial"/>
            <family val="0"/>
            <charset val="1"/>
          </rPr>
          <t xml:space="preserve">======
ID#AAAAZp-t0HY
Booth, Andrew M    (2022-05-24 11:13:50)
Based on the OTHC currency, this is the rate that will be used to convert the quoted OTHC charge to 1 USD.</t>
        </r>
      </text>
    </comment>
    <comment ref="AF4" authorId="0">
      <text>
        <r>
          <rPr>
            <sz val="10"/>
            <color rgb="FF000000"/>
            <rFont val="Arial"/>
            <family val="0"/>
            <charset val="1"/>
          </rPr>
          <t xml:space="preserve">======
ID#AAAAZp-t0Gc
Booth, Andrew M    (2022-05-24 11:13:50)
Please specify the Origin THC that would be charged in conjunction with movement of a container in each lane. This is to be quoted in the specified OTHC currency and corresponding exchange rate.</t>
        </r>
      </text>
    </comment>
    <comment ref="AG4" authorId="0">
      <text>
        <r>
          <rPr>
            <sz val="10"/>
            <color rgb="FF000000"/>
            <rFont val="Arial"/>
            <family val="0"/>
            <charset val="1"/>
          </rPr>
          <t xml:space="preserve">======
ID#AAAAZp-t0IE
Booth, Andrew M    (2022-05-24 11:13:50)
Please specify the line haul charge for all four lane types which includes only the ocean steamship portion of the total charge</t>
        </r>
      </text>
    </comment>
    <comment ref="AH4" authorId="0">
      <text>
        <r>
          <rPr>
            <sz val="10"/>
            <color rgb="FF000000"/>
            <rFont val="Arial"/>
            <family val="0"/>
            <charset val="1"/>
          </rPr>
          <t xml:space="preserve">======
ID#AAAAZp-t0GM
Booth, Andrew M    (2022-05-24 11:13:50)
This is the currency that the Destination Terminal Handling Charge must be quoted in.</t>
        </r>
      </text>
    </comment>
    <comment ref="AI4" authorId="0">
      <text>
        <r>
          <rPr>
            <sz val="10"/>
            <color rgb="FF000000"/>
            <rFont val="Arial"/>
            <family val="0"/>
            <charset val="1"/>
          </rPr>
          <t xml:space="preserve">======
ID#AAAAZp-t0Hs
Booth, Andrew M    (2022-05-24 11:13:50)
Based on the DTHC currency, this is the rate that will be used to convert the quoted DTHC charge to 1 USD.</t>
        </r>
      </text>
    </comment>
    <comment ref="AJ4" authorId="0">
      <text>
        <r>
          <rPr>
            <sz val="10"/>
            <color rgb="FF000000"/>
            <rFont val="Arial"/>
            <family val="0"/>
            <charset val="1"/>
          </rPr>
          <t xml:space="preserve">======
ID#AAAAZp-t0G0
Booth, Andrew M    (2022-05-24 11:13:50)
Please specify the Destination THC that would be charged in conjunction with movement of a container in each lane. This is to be quoted in the specified DTHC currency and corresponding exchange rate.</t>
        </r>
      </text>
    </comment>
    <comment ref="AK4" authorId="0">
      <text>
        <r>
          <rPr>
            <sz val="10"/>
            <color rgb="FF000000"/>
            <rFont val="Arial"/>
            <family val="0"/>
            <charset val="1"/>
          </rPr>
          <t xml:space="preserve">======
ID#AAAAZp-t0HU
Booth, Andrew M    (2022-05-24 11:13:50)
For service types where it applies, please specify the destination landside haulage charge that will be included in the rate structure.</t>
        </r>
      </text>
    </comment>
    <comment ref="AL4" authorId="0">
      <text>
        <r>
          <rPr>
            <sz val="10"/>
            <color rgb="FF000000"/>
            <rFont val="Arial"/>
            <family val="0"/>
            <charset val="1"/>
          </rPr>
          <t xml:space="preserve">======
ID#AAAAZp-t0Ho
Booth, Andrew M    (2022-05-24 11:13:50)
This is a calculated field that summarizes the total of all costs quoted in USD excluding BAF.</t>
        </r>
      </text>
    </comment>
    <comment ref="AM4" authorId="0">
      <text>
        <r>
          <rPr>
            <sz val="10"/>
            <color rgb="FF000000"/>
            <rFont val="Arial"/>
            <family val="0"/>
            <charset val="1"/>
          </rPr>
          <t xml:space="preserve">======
ID#AAAAZp-t0Gw
Booth, Andrew M    (2022-05-24 11:13:50)
This is a calculated field that summarizes the total of all costs quoted in USD including BAF.</t>
        </r>
      </text>
    </comment>
    <comment ref="AN4" authorId="0">
      <text>
        <r>
          <rPr>
            <sz val="10"/>
            <color rgb="FF000000"/>
            <rFont val="Arial"/>
            <family val="0"/>
            <charset val="1"/>
          </rPr>
          <t xml:space="preserve">======
ID#AAAAZp-t0GI
Booth, Andrew M    (2022-05-24 11:13:50)
For Port-to-Port and Port-to-Door lane types, this will be provided by K-C for each lane. For Door-to-Port and Door-to-Door lane types, carriers are free to choose a logical origin port that must be entered in this place.</t>
        </r>
      </text>
    </comment>
    <comment ref="AO4" authorId="0">
      <text>
        <r>
          <rPr>
            <sz val="10"/>
            <color rgb="FF000000"/>
            <rFont val="Arial"/>
            <family val="0"/>
            <charset val="1"/>
          </rPr>
          <t xml:space="preserve">======
ID#AAAAZp-t0GA
Booth, Andrew M    (2022-05-24 11:13:50)
For Port-to-Port and Door-to-Port lane types, this will be provided by K-C for each lane. For Port-to-Door and Door-to-Door lane types, carriers are free to choose a logical destination port that must be entered in this place.</t>
        </r>
      </text>
    </comment>
  </commentList>
</comments>
</file>

<file path=xl/sharedStrings.xml><?xml version="1.0" encoding="utf-8"?>
<sst xmlns="http://schemas.openxmlformats.org/spreadsheetml/2006/main" count="2224" uniqueCount="465">
  <si>
    <t xml:space="preserve">&lt;&lt;bid&gt;&gt;</t>
  </si>
  <si>
    <t xml:space="preserve">&lt;&lt;lot&gt;&gt;</t>
  </si>
  <si>
    <t xml:space="preserve">[origin_landside_charge_usd|lockdefaults|noTrigger|mandatory:o_landside_mandatory_2]</t>
  </si>
  <si>
    <t xml:space="preserve">[origin_terminal_handling_charge_in_origin_currency|lockdefaults|noTrigger|mandatory:othc_mandatory_2] </t>
  </si>
  <si>
    <t xml:space="preserve">[port_to_port_charge_usd]</t>
  </si>
  <si>
    <t xml:space="preserve">[destination_terminal_handling_charge_in_destination_currency]</t>
  </si>
  <si>
    <t xml:space="preserve">[destination_landside_charge_usd|lockdefaults|noTrigger|mandatory:d_landside_mandatory_2]</t>
  </si>
  <si>
    <t xml:space="preserve">[total_cost_w_o_baf_usd|formula:(IF(AC1=99999,0,AC1))+((IF(AF1=99999,0,AF1))/AE1)+AG1+(AJ1/AI1)+(IF(AK1=99999,0,AK1))|noTrigger]</t>
  </si>
  <si>
    <t xml:space="preserve">[origin_port|lockdefaults|noTrigger]</t>
  </si>
  <si>
    <t xml:space="preserve">[destination_port|lockdefaults|noTrigger]</t>
  </si>
  <si>
    <t xml:space="preserve">[ptp|notrigger|formula:=(IF((F1="Port to Port"),(IF(AND(AC1=99999,OR(AF1="",AF1=99999),AG1="",AJ1="",AK1=99999,AN1="",AO1="",AP1="",AQ1="",AR1="",AS1="",AT1&lt;&gt;"",AU1&lt;&gt;"",AV1="",AW1="",AX1&lt;&gt;"",AY1&lt;&gt;"",AZ1="",BA1="",BB1="",BE1=""),"No Bid",IF(AND(AC1=99999,OR(AF1&lt;&gt;"",AF1=99999),AG1&lt;&gt;"",AJ1&lt;&gt;"",AK1=99999,AN1&lt;&gt;"",AO1&lt;&gt;"",AP1&lt;&gt;"",AQ1&lt;&gt;"",AR1&lt;&gt;"",AS1&lt;&gt;"",AT1&lt;&gt;"",AU1&lt;&gt;"",AV1="",AW1="",AX1&lt;&gt;"",AY1&lt;&gt;"",AZ1="",BA1="",BB1&lt;&gt;"",(IF((OR(BB1="No Trans-Shipments",BB1="")),(AND(BC1="",BD1="")),(IF(BB1="1 Trans-Shipment",(AND(BC1&lt;&gt;"",BD1="")),(AND(BC1&lt;&gt;"",BD1&lt;&gt;"")))))),BE1&lt;&gt;""),"Complete Bid","Incomplete Bid")))))]</t>
  </si>
  <si>
    <t xml:space="preserve">[dtp|notrigger|formula:(IF((F1="Door to Port"),(IF(AND(AC1="",AF1="",AG1="",AJ1="",AK1=99999,AN1="",AO1="",AP1="",AQ1="",AR1="",AS1="",AT1="",AU1="",AV1="",AW1="",AX1&lt;&gt;"",AY1&lt;&gt;"",AZ1="",BA1="",BB1="",BE1=""),"No Bid",IF(AND(AC1&lt;&gt;"",AF1&lt;&gt;"",AG1&lt;&gt;"",AJ1&lt;&gt;"",AK1=99999,AN1&lt;&gt;"",AO1&lt;&gt;"",AP1&lt;&gt;"",AQ1&lt;&gt;"",AR1&lt;&gt;"",AS1&lt;&gt;"",AT1&lt;&gt;"",AU1&lt;&gt;"",OR(AV1="",AV1&lt;&gt;""),AW1&lt;&gt;"",AX1&lt;&gt;"",AY1&lt;&gt;"",AZ1="",BA1="",BB1&lt;&gt;"",(IF((OR((BB1="No Trans-Shipments"),(BB1=""))),(AND(BC1="",BD1="")),(IF(BB1="1 Trans-Shipment",(AND(BC1&lt;&gt;"",BD1="")),(AND(BC1&lt;&gt;"",BD1&lt;&gt;"")))))),BE1&lt;&gt;""),"Complete Bid","Incomplete Bid")))))]</t>
  </si>
  <si>
    <t xml:space="preserve">[ptd|notrigger|formula:(IF((F1="Port to Door"),(IF(AND(AC1=99999,OR(AF1="",AF1=99999),AG1="",AJ1="",AK1="",AN1="",AO1="",AP1="",AQ1="",AR1="",AS1="",AT1&lt;&gt;"",AU1&lt;&gt;"",AV1="",AW1="",AX1="",AY1="",AZ1="",BA1="",BB1="",BE1=""),"No Bid",IF(AND(AC1=99999,OR(AF1&lt;&gt;"",AF1=99999),AG1&lt;&gt;"",AJ1&lt;&gt;"",AK1&lt;&gt;"",AN1&lt;&gt;"",AO1&lt;&gt;"",AP1&lt;&gt;"",AQ1&lt;&gt;"",AR1&lt;&gt;"",AS1&lt;&gt;"",AT1&lt;&gt;"",AU1&lt;&gt;"",AV1="",AW1="",AX1&lt;&gt;"",AY1&lt;&gt;"",OR(AZ1&lt;&gt;"",AZ1=""),BA1&lt;&gt;"",BB1&lt;&gt;"",(IF((OR(BB1="No Trans-Shipments",BB1="")),(AND(BC1="",BD1="")),(IF(BB1="1 Trans-Shipment",(AND(BC1&lt;&gt;"",BD1="")),(AND(BC1&lt;&gt;"",BD1&lt;&gt;"")))))),BE1&lt;&gt;""),"Complete Bid","Incomplete Bid")))))]</t>
  </si>
  <si>
    <t xml:space="preserve">[dtd|notrigger|formula:(IF((F1="Door to Door"),(IF(AND(AC1="",AF1="",AG1="",AJ1="",AK1="",AN1="",AO1="",AP1="",AQ1="",AR1="",AS1="",AT1="",AU1="",AV1="",AW1="",AX1="",AY1="",AZ1="",BA1="",BB1="",BE1=""),"No Bid",IF(AND(AC1&lt;&gt;"",AF1&lt;&gt;"",AG1&lt;&gt;"",AJ1&lt;&gt;"",AK1&lt;&gt;"",AN1&lt;&gt;"",AO1&lt;&gt;"",AP1&lt;&gt;"",AQ1&lt;&gt;"",AR1&lt;&gt;"",AS1&lt;&gt;"",AT1&lt;&gt;"",AU1&lt;&gt;"",OR(AV1&lt;&gt;"",AV1=""),AW1&lt;&gt;"",AX1&lt;&gt;"",AY1&lt;&gt;"",OR(AZ1&lt;&gt;"",AZ1=""),BA1&lt;&gt;"",BB1&lt;&gt;"",(IF((OR(BB1="No Trans-Shipments",BB1="")),(AND(BC1="",BD1="")),(IF(BB1="1 Trans-Shipment",(AND(BC1&lt;&gt;"",BD1="")),(AND(BC1&lt;&gt;"",BD1&lt;&gt;"")))))),BE1&lt;&gt;""),"Complete Bid","Incomplete Bid")))))]</t>
  </si>
  <si>
    <t xml:space="preserve">&lt;&lt;end&gt;&gt;</t>
  </si>
  <si>
    <t xml:space="preserve">Enter Bids Below</t>
  </si>
  <si>
    <t xml:space="preserve">Lane ID</t>
  </si>
  <si>
    <t xml:space="preserve">Owner Region</t>
  </si>
  <si>
    <t xml:space="preserve">Lane Name</t>
  </si>
  <si>
    <t xml:space="preserve">Trade Lane</t>
  </si>
  <si>
    <t xml:space="preserve">Lane Service Type</t>
  </si>
  <si>
    <t xml:space="preserve">Incoterms</t>
  </si>
  <si>
    <t xml:space="preserve">Origin Region**</t>
  </si>
  <si>
    <t xml:space="preserve">Origin Country</t>
  </si>
  <si>
    <t xml:space="preserve">Origin City or Port</t>
  </si>
  <si>
    <t xml:space="preserve">Destination Region**</t>
  </si>
  <si>
    <t xml:space="preserve">Destination Country</t>
  </si>
  <si>
    <t xml:space="preserve">Destination City or Port</t>
  </si>
  <si>
    <t xml:space="preserve">Equipment Type</t>
  </si>
  <si>
    <t xml:space="preserve">Special Requirements**</t>
  </si>
  <si>
    <t xml:space="preserve">HazMat?</t>
  </si>
  <si>
    <t xml:space="preserve">HazMat Information</t>
  </si>
  <si>
    <t xml:space="preserve">Shipper/Supplier</t>
  </si>
  <si>
    <t xml:space="preserve">Shp Spp Add (nl app for Dr mvs</t>
  </si>
  <si>
    <t xml:space="preserve">Consignee/Customer</t>
  </si>
  <si>
    <t xml:space="preserve">Cns Cst Add (nl app for Dr mvs</t>
  </si>
  <si>
    <t xml:space="preserve">Annual Container Volume</t>
  </si>
  <si>
    <t xml:space="preserve">40 FT/ 40FT HC Volume Split</t>
  </si>
  <si>
    <t xml:space="preserve">Detention at Origin Requested by K-C</t>
  </si>
  <si>
    <t xml:space="preserve">Demurrage at Origin Requested by K-C</t>
  </si>
  <si>
    <t xml:space="preserve">Demurrage at Destination Requested by K-C</t>
  </si>
  <si>
    <t xml:space="preserve">Detention at Destination Requested by K-C</t>
  </si>
  <si>
    <t xml:space="preserve">BAF Charge per Container (USD)</t>
  </si>
  <si>
    <t xml:space="preserve">Origin Landside Charge (USD)</t>
  </si>
  <si>
    <t xml:space="preserve">Org Trm Hnd (TH and Stn Prt Chr Crr</t>
  </si>
  <si>
    <t xml:space="preserve">Origin THC and Standard Port Charges Currency  Exchange Rate = 1USD</t>
  </si>
  <si>
    <t xml:space="preserve">Org Trm Hnd and Stn Prt Chr in Spc Crr</t>
  </si>
  <si>
    <t xml:space="preserve">Port to Port Charge (USD)</t>
  </si>
  <si>
    <t xml:space="preserve">Dst Trm Hnd and Stn Prt Chr (DT Crr</t>
  </si>
  <si>
    <t xml:space="preserve">Destination THC and Standard Port Charges Currency Exchange Rate = 1USD</t>
  </si>
  <si>
    <t xml:space="preserve">Dst Trm Hnd and Stn Prt Chr in Spc DTH Crr</t>
  </si>
  <si>
    <t xml:space="preserve">Destination Landside Charge (USD)</t>
  </si>
  <si>
    <t xml:space="preserve">Total Cost w/o BAF (USD)</t>
  </si>
  <si>
    <t xml:space="preserve">Total Cost w/ BAF (USD)</t>
  </si>
  <si>
    <t xml:space="preserve">Origin Port</t>
  </si>
  <si>
    <t xml:space="preserve">Destination Port</t>
  </si>
  <si>
    <t xml:space="preserve">&lt;&lt;define&gt;&gt;</t>
  </si>
  <si>
    <t xml:space="preserve">APAC-003</t>
  </si>
  <si>
    <t xml:space="preserve">APAC</t>
  </si>
  <si>
    <t xml:space="preserve">Antwerp-Hong Kong-20 Ft.</t>
  </si>
  <si>
    <t xml:space="preserve">Europe to Asia</t>
  </si>
  <si>
    <t xml:space="preserve">Port to Port</t>
  </si>
  <si>
    <t xml:space="preserve">FOB</t>
  </si>
  <si>
    <t xml:space="preserve">Belgium</t>
  </si>
  <si>
    <t xml:space="preserve">Antwerp</t>
  </si>
  <si>
    <t xml:space="preserve">Hong Kong</t>
  </si>
  <si>
    <t xml:space="preserve">20 Ft.</t>
  </si>
  <si>
    <t xml:space="preserve">HIT/MTL preferred</t>
  </si>
  <si>
    <t xml:space="preserve">NO</t>
  </si>
  <si>
    <t xml:space="preserve">Kimberly Clark Europe</t>
  </si>
  <si>
    <t xml:space="preserve">Kimberly Clark (HK) Limited</t>
  </si>
  <si>
    <t xml:space="preserve">2</t>
  </si>
  <si>
    <t xml:space="preserve">5</t>
  </si>
  <si>
    <t xml:space="preserve">10</t>
  </si>
  <si>
    <t xml:space="preserve">14</t>
  </si>
  <si>
    <t xml:space="preserve">7</t>
  </si>
  <si>
    <t xml:space="preserve">EUR</t>
  </si>
  <si>
    <t xml:space="preserve">HKD</t>
  </si>
  <si>
    <t xml:space="preserve">APAC-004</t>
  </si>
  <si>
    <t xml:space="preserve">Antwerp-Hong Kong-40 Ft. / 40 Ft. HC</t>
  </si>
  <si>
    <t xml:space="preserve">40 Ft. / 40 Ft. HC</t>
  </si>
  <si>
    <t xml:space="preserve">0 | 2</t>
  </si>
  <si>
    <t xml:space="preserve">APAC-005</t>
  </si>
  <si>
    <t xml:space="preserve">Antwerp-Sydney-20 Ft.</t>
  </si>
  <si>
    <t xml:space="preserve">Europe to Oceania</t>
  </si>
  <si>
    <t xml:space="preserve">EMEA</t>
  </si>
  <si>
    <t xml:space="preserve">Australia</t>
  </si>
  <si>
    <t xml:space="preserve">Sydney</t>
  </si>
  <si>
    <t xml:space="preserve">Ontex</t>
  </si>
  <si>
    <t xml:space="preserve">KIMBERLY CLARK AUSTRALIA PTY LTD</t>
  </si>
  <si>
    <t xml:space="preserve">30</t>
  </si>
  <si>
    <t xml:space="preserve">AUD</t>
  </si>
  <si>
    <t xml:space="preserve">APAC-006</t>
  </si>
  <si>
    <t xml:space="preserve">Antwerp-Sydney-40 Ft. / 40 Ft. HC</t>
  </si>
  <si>
    <t xml:space="preserve">0.00</t>
  </si>
  <si>
    <t xml:space="preserve">0 | 0</t>
  </si>
  <si>
    <t xml:space="preserve">APAC-009</t>
  </si>
  <si>
    <t xml:space="preserve">London Area Ports-Hong Kong-20 Ft.</t>
  </si>
  <si>
    <t xml:space="preserve">United Kingdom</t>
  </si>
  <si>
    <t xml:space="preserve">London Area Ports</t>
  </si>
  <si>
    <t xml:space="preserve">GBP</t>
  </si>
  <si>
    <t xml:space="preserve">APAC-010</t>
  </si>
  <si>
    <t xml:space="preserve">London Area Ports-Hong Kong-40 Ft. / 40 Ft. HC</t>
  </si>
  <si>
    <t xml:space="preserve">3</t>
  </si>
  <si>
    <t xml:space="preserve">0 | 3</t>
  </si>
  <si>
    <t xml:space="preserve">APAC-017</t>
  </si>
  <si>
    <t xml:space="preserve">Auckland-Sydney-20 Ft.</t>
  </si>
  <si>
    <t xml:space="preserve">Intra-Oceania (Trans-Tasman)</t>
  </si>
  <si>
    <t xml:space="preserve">FCA</t>
  </si>
  <si>
    <t xml:space="preserve">New Zealand</t>
  </si>
  <si>
    <t xml:space="preserve">Auckland</t>
  </si>
  <si>
    <t xml:space="preserve">DUROLLA PRODUCTS NZ LTD</t>
  </si>
  <si>
    <t xml:space="preserve">1</t>
  </si>
  <si>
    <t xml:space="preserve">18</t>
  </si>
  <si>
    <t xml:space="preserve">NZD</t>
  </si>
  <si>
    <t xml:space="preserve">APAC-018</t>
  </si>
  <si>
    <t xml:space="preserve">Auckland-Sydney-40 Ft. / 40 Ft. HC</t>
  </si>
  <si>
    <t xml:space="preserve">0</t>
  </si>
  <si>
    <t xml:space="preserve">APAC-023</t>
  </si>
  <si>
    <t xml:space="preserve">Bangkok-Busan-20 Ft.</t>
  </si>
  <si>
    <t xml:space="preserve">Intra-Asia</t>
  </si>
  <si>
    <t xml:space="preserve">Thailand</t>
  </si>
  <si>
    <t xml:space="preserve">Bangkok</t>
  </si>
  <si>
    <t xml:space="preserve">South Korea</t>
  </si>
  <si>
    <t xml:space="preserve">Busan</t>
  </si>
  <si>
    <t xml:space="preserve">THAI HOSPITAL PRODUCTS CO.LTD.</t>
  </si>
  <si>
    <t xml:space="preserve">YUHAN-KIMBERLY</t>
  </si>
  <si>
    <t xml:space="preserve">THB</t>
  </si>
  <si>
    <t xml:space="preserve">KRW</t>
  </si>
  <si>
    <t xml:space="preserve">APAC-024</t>
  </si>
  <si>
    <t xml:space="preserve">Bangkok-Busan-40 Ft. / 40 Ft. HC</t>
  </si>
  <si>
    <t xml:space="preserve">APAC-037</t>
  </si>
  <si>
    <t xml:space="preserve">Buenaventura-Hong Kong-20 Ft.</t>
  </si>
  <si>
    <t xml:space="preserve">WC South America to Asia</t>
  </si>
  <si>
    <t xml:space="preserve">Colombia</t>
  </si>
  <si>
    <t xml:space="preserve">Buenaventura</t>
  </si>
  <si>
    <t xml:space="preserve">Kimberly Clark Colombia</t>
  </si>
  <si>
    <t xml:space="preserve">6</t>
  </si>
  <si>
    <t xml:space="preserve">COP</t>
  </si>
  <si>
    <t xml:space="preserve">APAC-038</t>
  </si>
  <si>
    <t xml:space="preserve">Buenaventura-Hong Kong-40 Ft. / 40 Ft. HC</t>
  </si>
  <si>
    <t xml:space="preserve">4</t>
  </si>
  <si>
    <t xml:space="preserve">0 | 4</t>
  </si>
  <si>
    <t xml:space="preserve">APAC-041</t>
  </si>
  <si>
    <t xml:space="preserve">Busan-Auckland-20 Ft.</t>
  </si>
  <si>
    <t xml:space="preserve">Asia to Oceania</t>
  </si>
  <si>
    <t xml:space="preserve">CFR / FOB</t>
  </si>
  <si>
    <t xml:space="preserve">Kimberly-Clark Auckland DC</t>
  </si>
  <si>
    <t xml:space="preserve">APAC-042</t>
  </si>
  <si>
    <t xml:space="preserve">Busan-Auckland-40 Ft. / 40 Ft. HC</t>
  </si>
  <si>
    <t xml:space="preserve">0 | 86</t>
  </si>
  <si>
    <t xml:space="preserve">APAC-047</t>
  </si>
  <si>
    <t xml:space="preserve">Busan-Guam-20 Ft.</t>
  </si>
  <si>
    <t xml:space="preserve">Asia to Pacific Islands</t>
  </si>
  <si>
    <t xml:space="preserve">Guam</t>
  </si>
  <si>
    <t xml:space="preserve">Kimberly Clark Philippines</t>
  </si>
  <si>
    <t xml:space="preserve">USD</t>
  </si>
  <si>
    <t xml:space="preserve">APAC-048</t>
  </si>
  <si>
    <t xml:space="preserve">Busan-Guam-40 Ft. / 40 Ft. HC</t>
  </si>
  <si>
    <t xml:space="preserve">0 | 24</t>
  </si>
  <si>
    <t xml:space="preserve">APAC-049</t>
  </si>
  <si>
    <t xml:space="preserve">Busan-Ho Chi Minh City (Cat Lai)-20 Ft.</t>
  </si>
  <si>
    <t xml:space="preserve">Vietnam</t>
  </si>
  <si>
    <t xml:space="preserve">Ho Chi Minh City (Cat Lai)</t>
  </si>
  <si>
    <t xml:space="preserve">Kimberly Clark Viet Nam</t>
  </si>
  <si>
    <t xml:space="preserve">VND</t>
  </si>
  <si>
    <t xml:space="preserve">APAC-050</t>
  </si>
  <si>
    <t xml:space="preserve">Busan-Ho Chi Minh City (Cat Lai)-40 Ft. / 40 Ft. HC</t>
  </si>
  <si>
    <t xml:space="preserve">CFR / CIF / FOB</t>
  </si>
  <si>
    <t xml:space="preserve">Direct Service highly preferred</t>
  </si>
  <si>
    <t xml:space="preserve">0 | 32</t>
  </si>
  <si>
    <t xml:space="preserve">APAC-051</t>
  </si>
  <si>
    <t xml:space="preserve">Busan-Hong Kong-20 Ft.</t>
  </si>
  <si>
    <t xml:space="preserve">APAC-052</t>
  </si>
  <si>
    <t xml:space="preserve">Busan-Hong Kong-40 Ft. / 40 Ft. HC</t>
  </si>
  <si>
    <t xml:space="preserve">0 | 382</t>
  </si>
  <si>
    <t xml:space="preserve">APAC-053</t>
  </si>
  <si>
    <t xml:space="preserve">Busan-Huangpu-20 Ft.</t>
  </si>
  <si>
    <t xml:space="preserve">CFR</t>
  </si>
  <si>
    <t xml:space="preserve">China</t>
  </si>
  <si>
    <t xml:space="preserve">Huangpu</t>
  </si>
  <si>
    <t xml:space="preserve">CROSS BORDER SALES</t>
  </si>
  <si>
    <t xml:space="preserve">CNY</t>
  </si>
  <si>
    <t xml:space="preserve">APAC-054</t>
  </si>
  <si>
    <t xml:space="preserve">Busan-Huangpu-40 Ft. / 40 Ft. HC</t>
  </si>
  <si>
    <t xml:space="preserve">0 | 6</t>
  </si>
  <si>
    <t xml:space="preserve">APAC-057</t>
  </si>
  <si>
    <t xml:space="preserve">Busan-Iyomishima-20 Ft.</t>
  </si>
  <si>
    <t xml:space="preserve">Japan</t>
  </si>
  <si>
    <t xml:space="preserve">Iyomishima</t>
  </si>
  <si>
    <t xml:space="preserve">NIPPON PAPER CRECIA CO.LTD</t>
  </si>
  <si>
    <t xml:space="preserve">JPY</t>
  </si>
  <si>
    <t xml:space="preserve">APAC-058</t>
  </si>
  <si>
    <t xml:space="preserve">Busan-Iyomishima-40 Ft. / 40 Ft. HC</t>
  </si>
  <si>
    <t xml:space="preserve">0 | 12</t>
  </si>
  <si>
    <t xml:space="preserve">APAC-059</t>
  </si>
  <si>
    <t xml:space="preserve">Busan-Jakarta-20 Ft.</t>
  </si>
  <si>
    <t xml:space="preserve">Indonesia</t>
  </si>
  <si>
    <t xml:space="preserve">Jakarta</t>
  </si>
  <si>
    <t xml:space="preserve">PT Kimberly Clark Indonesia</t>
  </si>
  <si>
    <t xml:space="preserve">IDR</t>
  </si>
  <si>
    <t xml:space="preserve">APAC-060</t>
  </si>
  <si>
    <t xml:space="preserve">Busan-Jakarta-40 Ft. / 40 Ft. HC</t>
  </si>
  <si>
    <t xml:space="preserve">0 | 59</t>
  </si>
  <si>
    <t xml:space="preserve">APAC-061</t>
  </si>
  <si>
    <t xml:space="preserve">Busan-Kaohsiung-20 Ft.</t>
  </si>
  <si>
    <t xml:space="preserve">Taiwan</t>
  </si>
  <si>
    <t xml:space="preserve">Kaohsiung</t>
  </si>
  <si>
    <t xml:space="preserve">KC Taiwan</t>
  </si>
  <si>
    <t xml:space="preserve">TWD</t>
  </si>
  <si>
    <t xml:space="preserve">APAC-062</t>
  </si>
  <si>
    <t xml:space="preserve">Busan-Kaohsiung-40 Ft. / 40 Ft. HC</t>
  </si>
  <si>
    <t xml:space="preserve">0 | 105</t>
  </si>
  <si>
    <t xml:space="preserve">APAC-063</t>
  </si>
  <si>
    <t xml:space="preserve">Busan-Keelung-20 Ft.</t>
  </si>
  <si>
    <t xml:space="preserve">Keelung</t>
  </si>
  <si>
    <t xml:space="preserve">APAC-064</t>
  </si>
  <si>
    <t xml:space="preserve">Busan-Keelung-40 Ft. / 40 Ft. HC</t>
  </si>
  <si>
    <t xml:space="preserve">0 | 103</t>
  </si>
  <si>
    <t xml:space="preserve">APAC-065</t>
  </si>
  <si>
    <t xml:space="preserve">Busan-Lat Krabang-20 Ft.</t>
  </si>
  <si>
    <t xml:space="preserve">Lat Krabang</t>
  </si>
  <si>
    <t xml:space="preserve">Kimberly-Clark Thailand Ltd.</t>
  </si>
  <si>
    <t xml:space="preserve">APAC-066</t>
  </si>
  <si>
    <t xml:space="preserve">Busan-Lat Krabang-40 Ft. / 40 Ft. HC</t>
  </si>
  <si>
    <t xml:space="preserve">0 | 320</t>
  </si>
  <si>
    <t xml:space="preserve">APAC-067</t>
  </si>
  <si>
    <t xml:space="preserve">Busan-Macau-20 Ft.</t>
  </si>
  <si>
    <t xml:space="preserve">Macau</t>
  </si>
  <si>
    <t xml:space="preserve">KIMBERLY CLARK HONG KONG LTD(MACAU)</t>
  </si>
  <si>
    <t xml:space="preserve">MOP</t>
  </si>
  <si>
    <t xml:space="preserve">APAC-068</t>
  </si>
  <si>
    <t xml:space="preserve">Busan-Macau-40 Ft. / 40 Ft. HC</t>
  </si>
  <si>
    <t xml:space="preserve">0 | 7</t>
  </si>
  <si>
    <t xml:space="preserve">APAC-069</t>
  </si>
  <si>
    <t xml:space="preserve">Busan-Manila-20 Ft.</t>
  </si>
  <si>
    <t xml:space="preserve">Philippines</t>
  </si>
  <si>
    <t xml:space="preserve">Manila</t>
  </si>
  <si>
    <t xml:space="preserve">300, OLYMPIC-RO, SONGPA-G SEOUL 05551 SOUTH KOREA</t>
  </si>
  <si>
    <t xml:space="preserve">PHP</t>
  </si>
  <si>
    <t xml:space="preserve">APAC-070</t>
  </si>
  <si>
    <t xml:space="preserve">Busan-Manila-40 Ft. / 40 Ft. HC</t>
  </si>
  <si>
    <t xml:space="preserve">0 | 80</t>
  </si>
  <si>
    <t xml:space="preserve">APAC-071</t>
  </si>
  <si>
    <t xml:space="preserve">Busan-Melbourne-20 Ft.</t>
  </si>
  <si>
    <t xml:space="preserve">Melbourne</t>
  </si>
  <si>
    <t xml:space="preserve">APAC-072</t>
  </si>
  <si>
    <t xml:space="preserve">Busan-Melbourne-40 Ft. / 40 Ft. HC</t>
  </si>
  <si>
    <t xml:space="preserve">YUHAN-KIMBERLY / Huvis</t>
  </si>
  <si>
    <t xml:space="preserve">Kimberly-Clark Australia / Textor Technologies</t>
  </si>
  <si>
    <t xml:space="preserve">0 | 344</t>
  </si>
  <si>
    <t xml:space="preserve">APAC-075</t>
  </si>
  <si>
    <t xml:space="preserve">Busan-Nhava Sheva-20 Ft.</t>
  </si>
  <si>
    <t xml:space="preserve">Asia to Indian Subcontinent</t>
  </si>
  <si>
    <t xml:space="preserve">CFR / FOB / EXW</t>
  </si>
  <si>
    <t xml:space="preserve">India</t>
  </si>
  <si>
    <t xml:space="preserve">Nhava Sheva</t>
  </si>
  <si>
    <t xml:space="preserve">Direct Service Preferred</t>
  </si>
  <si>
    <t xml:space="preserve">YUHAN-KIMBERLY LTD./TAESUNG E AND I CORPORATION / LG Chem Ltd</t>
  </si>
  <si>
    <t xml:space="preserve">899-71 BEODEUL-RO HWASEONG SI GYEONGGI DO PARK TAE GEUK AIDEN PARK REPUBLIC OF KOREA 18559 SOUTH KOREA / LG Chem: 128 YEOUI-DAERO YEONGDEUNGPO-GU SEOUL KOREA (07336)</t>
  </si>
  <si>
    <t xml:space="preserve">KCP India/KTCC / Kimberly Clark India Pvt Ltd</t>
  </si>
  <si>
    <t xml:space="preserve">Gat no 934-937 Village Sanaswadi Taluka Shirur District Pune 412208 Maharashtra India</t>
  </si>
  <si>
    <t xml:space="preserve">INR</t>
  </si>
  <si>
    <t xml:space="preserve">APAC-076</t>
  </si>
  <si>
    <t xml:space="preserve">Busan-Nhava Sheva-40 Ft. / 40 Ft. HC</t>
  </si>
  <si>
    <t xml:space="preserve">YUHAN-KIMBERLY LTD. / Toray Advance Material Korea Inc / Hysoung TNC Corporation / Sambo</t>
  </si>
  <si>
    <t xml:space="preserve">Korea Toray R&amp;D Center 5&amp;6th Floor, 7 Magodong-RO, 10 GIL, Gangseo-GU Seoul, 07790, Republic of Korea / 119, Mapo-Daero, Mapo-GU, Seoul Korea</t>
  </si>
  <si>
    <t xml:space="preserve">0 | 588</t>
  </si>
  <si>
    <t xml:space="preserve">APAC-077</t>
  </si>
  <si>
    <t xml:space="preserve">Busan-Ningbo-20 Ft.</t>
  </si>
  <si>
    <t xml:space="preserve">Ningbo</t>
  </si>
  <si>
    <t xml:space="preserve">APAC-078</t>
  </si>
  <si>
    <t xml:space="preserve">Busan-Ningbo-40 Ft. / 40 Ft. HC</t>
  </si>
  <si>
    <t xml:space="preserve">0 | 62</t>
  </si>
  <si>
    <t xml:space="preserve">APAC-079</t>
  </si>
  <si>
    <t xml:space="preserve">Busan-Perth / Fremantle-20 Ft.</t>
  </si>
  <si>
    <t xml:space="preserve">Perth / Fremantle</t>
  </si>
  <si>
    <t xml:space="preserve">APAC-080</t>
  </si>
  <si>
    <t xml:space="preserve">Busan-Perth / Fremantle-40 Ft. / 40 Ft. HC</t>
  </si>
  <si>
    <t xml:space="preserve">0 | 204</t>
  </si>
  <si>
    <t xml:space="preserve">APAC-081</t>
  </si>
  <si>
    <t xml:space="preserve">Busan-Shanghai-20 Ft.</t>
  </si>
  <si>
    <t xml:space="preserve">Shanghai</t>
  </si>
  <si>
    <t xml:space="preserve">KC CHINA INVESTMENT SHANGHAI DC</t>
  </si>
  <si>
    <t xml:space="preserve">APAC-082</t>
  </si>
  <si>
    <t xml:space="preserve">Busan-Shanghai-40 Ft. / 40 Ft. HC</t>
  </si>
  <si>
    <t xml:space="preserve">0 | 474</t>
  </si>
  <si>
    <t xml:space="preserve">APAC-083</t>
  </si>
  <si>
    <t xml:space="preserve">Busan-Singapore-20 Ft.</t>
  </si>
  <si>
    <t xml:space="preserve">EXW</t>
  </si>
  <si>
    <t xml:space="preserve">Singapore</t>
  </si>
  <si>
    <t xml:space="preserve">Yeon Am and Taesung</t>
  </si>
  <si>
    <t xml:space="preserve">KC Singapore</t>
  </si>
  <si>
    <t xml:space="preserve">SGD</t>
  </si>
  <si>
    <t xml:space="preserve">APAC-084</t>
  </si>
  <si>
    <t xml:space="preserve">Busan-Singapore-40 Ft. / 40 Ft. HC</t>
  </si>
  <si>
    <t xml:space="preserve">0 | 84</t>
  </si>
  <si>
    <t xml:space="preserve">APAC-085</t>
  </si>
  <si>
    <t xml:space="preserve">Busan-Sydney-20 Ft.</t>
  </si>
  <si>
    <t xml:space="preserve">KCA NATIONAL DC ERSKINE PARK</t>
  </si>
  <si>
    <t xml:space="preserve">APAC-086</t>
  </si>
  <si>
    <t xml:space="preserve">Busan-Sydney-40 Ft. / 40 Ft. HC</t>
  </si>
  <si>
    <t xml:space="preserve">0 | 1299</t>
  </si>
  <si>
    <t xml:space="preserve">APAC-088</t>
  </si>
  <si>
    <t xml:space="preserve">Busan-Tanjung Pelepas-20 Ft.</t>
  </si>
  <si>
    <t xml:space="preserve">Malaysia</t>
  </si>
  <si>
    <t xml:space="preserve">Tanjung Pelepas</t>
  </si>
  <si>
    <t xml:space="preserve">KIMBERLY CLARK PRODUCTS (M) SDN BHD</t>
  </si>
  <si>
    <t xml:space="preserve">MYR</t>
  </si>
  <si>
    <t xml:space="preserve">APAC-089</t>
  </si>
  <si>
    <t xml:space="preserve">Busan-Tanjung Pelepas-40 Ft. / 40 Ft. HC</t>
  </si>
  <si>
    <t xml:space="preserve">0 | 283</t>
  </si>
  <si>
    <t xml:space="preserve">APAC-090</t>
  </si>
  <si>
    <t xml:space="preserve">Busan-Tokyo-20 Ft.</t>
  </si>
  <si>
    <t xml:space="preserve">Tokyo</t>
  </si>
  <si>
    <t xml:space="preserve">APAC-091</t>
  </si>
  <si>
    <t xml:space="preserve">Busan-Tokyo-40 Ft. / 40 Ft. HC</t>
  </si>
  <si>
    <t xml:space="preserve">0 | 87</t>
  </si>
  <si>
    <t xml:space="preserve">APAC-092</t>
  </si>
  <si>
    <t xml:space="preserve">Busan-Tianjin/Xingang-20 Ft.</t>
  </si>
  <si>
    <t xml:space="preserve">Tianjin/Xingang</t>
  </si>
  <si>
    <t xml:space="preserve">KIMBERLY CLARK (TIANJIN) CARE PRODU</t>
  </si>
  <si>
    <t xml:space="preserve">APAC-093</t>
  </si>
  <si>
    <t xml:space="preserve">Busan-Tianjin/Xingang-40 Ft. / 40 Ft. HC</t>
  </si>
  <si>
    <t xml:space="preserve">0 | 54</t>
  </si>
  <si>
    <t xml:space="preserve">APAC-094</t>
  </si>
  <si>
    <t xml:space="preserve">Busan-Yokohama-20 Ft.</t>
  </si>
  <si>
    <t xml:space="preserve">Yokohama</t>
  </si>
  <si>
    <t xml:space="preserve">APAC-095</t>
  </si>
  <si>
    <t xml:space="preserve">Busan-Yokohama-40 Ft. / 40 Ft. HC</t>
  </si>
  <si>
    <t xml:space="preserve">0 | 142</t>
  </si>
  <si>
    <t xml:space="preserve">APAC-096</t>
  </si>
  <si>
    <t xml:space="preserve">Cartagena-Hong Kong-20 Ft.</t>
  </si>
  <si>
    <t xml:space="preserve">EC South America to Asia</t>
  </si>
  <si>
    <t xml:space="preserve">Cartagena</t>
  </si>
  <si>
    <t xml:space="preserve">APAC-097</t>
  </si>
  <si>
    <t xml:space="preserve">Cartagena-Hong Kong-40 Ft. / 40 Ft. HC</t>
  </si>
  <si>
    <t xml:space="preserve">APAC-100</t>
  </si>
  <si>
    <t xml:space="preserve">Cartagena-Tanjung Pelepas-20 Ft.</t>
  </si>
  <si>
    <t xml:space="preserve">LAO</t>
  </si>
  <si>
    <t xml:space="preserve">COLOMBIANA KIMBERLY COLPAPEL</t>
  </si>
  <si>
    <t xml:space="preserve">APAC-101</t>
  </si>
  <si>
    <t xml:space="preserve">Cartagena-Tanjung Pelepas-40 Ft. / 40 Ft. HC</t>
  </si>
  <si>
    <t xml:space="preserve">APAC-114</t>
  </si>
  <si>
    <t xml:space="preserve">Gondreville-Sydney-20 Ft.</t>
  </si>
  <si>
    <t xml:space="preserve">Door to Port</t>
  </si>
  <si>
    <t xml:space="preserve">France</t>
  </si>
  <si>
    <t xml:space="preserve">Gondreville</t>
  </si>
  <si>
    <t xml:space="preserve">KIMBERLY-CLARK EUROPE LTD</t>
  </si>
  <si>
    <t xml:space="preserve">XPO Logistics, c/o Kimberly Clark, Zone d'activités de Parcolog, 5484 Gondreville</t>
  </si>
  <si>
    <t xml:space="preserve">APAC-115</t>
  </si>
  <si>
    <t xml:space="preserve">Gondreville-Sydney-40 Ft. / 40 Ft. HC</t>
  </si>
  <si>
    <t xml:space="preserve">APAC-116</t>
  </si>
  <si>
    <t xml:space="preserve">Green Bay, Wi-Melbourne-20 Ft.</t>
  </si>
  <si>
    <t xml:space="preserve">TP Southbound (North America to Oceania)</t>
  </si>
  <si>
    <t xml:space="preserve">NA</t>
  </si>
  <si>
    <t xml:space="preserve">United States</t>
  </si>
  <si>
    <t xml:space="preserve">Green Bay, Wi</t>
  </si>
  <si>
    <t xml:space="preserve">Prefer USEC Routing or Pacific Northwest Routing. Do not route via LAX/LGB</t>
  </si>
  <si>
    <t xml:space="preserve">LITTLE RAPIDS CORP</t>
  </si>
  <si>
    <t xml:space="preserve">1327 GLORY RD GREEN BAY WI 5434-5636 USA</t>
  </si>
  <si>
    <t xml:space="preserve">APAC-117</t>
  </si>
  <si>
    <t xml:space="preserve">Green Bay, Wi-Melbourne-40 Ft. / 40 Ft. HC</t>
  </si>
  <si>
    <t xml:space="preserve">APAC-118</t>
  </si>
  <si>
    <t xml:space="preserve">Green Bay, Wi-Sydney-20 Ft.</t>
  </si>
  <si>
    <t xml:space="preserve">APAC-119</t>
  </si>
  <si>
    <t xml:space="preserve">Green Bay, Wi-Sydney-40 Ft. / 40 Ft. HC</t>
  </si>
  <si>
    <t xml:space="preserve">APAC-122</t>
  </si>
  <si>
    <t xml:space="preserve">Haikou-Sahathai-20 Ft.</t>
  </si>
  <si>
    <t xml:space="preserve">Haikou</t>
  </si>
  <si>
    <t xml:space="preserve">Sahathai</t>
  </si>
  <si>
    <t xml:space="preserve">Hainan Xinlong Nonwovens Co.Ltd</t>
  </si>
  <si>
    <t xml:space="preserve">APAC-123</t>
  </si>
  <si>
    <t xml:space="preserve">Haikou-Sahathai-40 Ft. / 40 Ft. HC</t>
  </si>
  <si>
    <t xml:space="preserve">0 | 18</t>
  </si>
  <si>
    <t xml:space="preserve">APAC-128</t>
  </si>
  <si>
    <t xml:space="preserve">Hamburg-Hong Kong-20 Ft.</t>
  </si>
  <si>
    <t xml:space="preserve">CIF</t>
  </si>
  <si>
    <t xml:space="preserve">Germany</t>
  </si>
  <si>
    <t xml:space="preserve">Hamburg</t>
  </si>
  <si>
    <t xml:space="preserve">APAC-129</t>
  </si>
  <si>
    <t xml:space="preserve">Hamburg-Hong Kong-40 Ft. / 40 Ft. HC</t>
  </si>
  <si>
    <t xml:space="preserve">APAC-138</t>
  </si>
  <si>
    <t xml:space="preserve">Ho Chi Minh City-Auckland-20 Ft.</t>
  </si>
  <si>
    <t xml:space="preserve">CIF / FOB</t>
  </si>
  <si>
    <t xml:space="preserve">Ho Chi Minh City</t>
  </si>
  <si>
    <t xml:space="preserve">Kimberly Clark Vietnam</t>
  </si>
  <si>
    <t xml:space="preserve">APAC-139</t>
  </si>
  <si>
    <t xml:space="preserve">Ho Chi Minh City-Auckland-40 Ft. / 40 Ft. HC</t>
  </si>
  <si>
    <t xml:space="preserve">Kimberly-Clark New Zealand</t>
  </si>
  <si>
    <t xml:space="preserve">0 | 120</t>
  </si>
  <si>
    <t xml:space="preserve">APAC-140</t>
  </si>
  <si>
    <t xml:space="preserve">Ho Chi Minh City-Bangkok-20 Ft.</t>
  </si>
  <si>
    <t xml:space="preserve">DAP</t>
  </si>
  <si>
    <t xml:space="preserve">TS TRADING IMPORT-EXPORTED SOLE CO., LTD / KIMBERLY - CLARK THAILAND LIMITED</t>
  </si>
  <si>
    <t xml:space="preserve">APAC-141</t>
  </si>
  <si>
    <t xml:space="preserve">Ho Chi Minh City-Bangkok-40 Ft. / 40 Ft. HC</t>
  </si>
  <si>
    <t xml:space="preserve">0 | 5</t>
  </si>
  <si>
    <t xml:space="preserve">APAC-144</t>
  </si>
  <si>
    <t xml:space="preserve">Ho Chi Minh City-Busan-20 Ft.</t>
  </si>
  <si>
    <t xml:space="preserve">MESO INTERNATIONAL, K-C Taiwan Corporation</t>
  </si>
  <si>
    <t xml:space="preserve">APAC-145</t>
  </si>
  <si>
    <t xml:space="preserve">Ho Chi Minh City-Busan-40 Ft. / 40 Ft. HC</t>
  </si>
  <si>
    <t xml:space="preserve">0 | 285</t>
  </si>
  <si>
    <t xml:space="preserve">APAC-152</t>
  </si>
  <si>
    <t xml:space="preserve">Ho Chi Minh City-Hong Kong-20 Ft.</t>
  </si>
  <si>
    <t xml:space="preserve">Direct Service highly preferred, HIT/MTL preferred</t>
  </si>
  <si>
    <t xml:space="preserve">APAC-153</t>
  </si>
  <si>
    <t xml:space="preserve">Ho Chi Minh City-Hong Kong-40 Ft. / 40 Ft. HC</t>
  </si>
  <si>
    <t xml:space="preserve">0 | 97</t>
  </si>
  <si>
    <t xml:space="preserve">APAC-154</t>
  </si>
  <si>
    <t xml:space="preserve">Ho Chi Minh City-Jakarta-20 Ft.</t>
  </si>
  <si>
    <t xml:space="preserve">PT. MAJU ANDALAN NUSA</t>
  </si>
  <si>
    <t xml:space="preserve">APAC-155</t>
  </si>
  <si>
    <t xml:space="preserve">Ho Chi Minh City-Jakarta-40 Ft. / 40 Ft. HC</t>
  </si>
  <si>
    <t xml:space="preserve">APAC-156</t>
  </si>
  <si>
    <t xml:space="preserve">Ho Chi Minh City-Manila-20 Ft.</t>
  </si>
  <si>
    <t xml:space="preserve">address: No.32, Huu Nghi Avenue, VSIP IP, Binh Hoa Ward, Thuan An City,Binh Duong Province, Viet Nam</t>
  </si>
  <si>
    <t xml:space="preserve">APAC-157</t>
  </si>
  <si>
    <t xml:space="preserve">Ho Chi Minh City-Manila-40 Ft. / 40 Ft. HC</t>
  </si>
  <si>
    <t xml:space="preserve">0 | 180</t>
  </si>
  <si>
    <t xml:space="preserve">APAC-158</t>
  </si>
  <si>
    <t xml:space="preserve">Ho Chi Minh City-Melbourne-20 Ft.</t>
  </si>
  <si>
    <t xml:space="preserve">APAC-159</t>
  </si>
  <si>
    <t xml:space="preserve">Ho Chi Minh City-Melbourne-40 Ft. / 40 Ft. HC</t>
  </si>
  <si>
    <t xml:space="preserve">0 | 181</t>
  </si>
  <si>
    <t xml:space="preserve">APAC-160</t>
  </si>
  <si>
    <t xml:space="preserve">Ho Chi Minh City-Nhava Sheva-20 Ft.</t>
  </si>
  <si>
    <t xml:space="preserve">Deemyung Chemical Co Ltd / Hans Vina Co Ltd</t>
  </si>
  <si>
    <t xml:space="preserve">9-3 Sanyanggoongdan 2 GIL Sanyang Myeon, Mun-Gyeong-SI Gyeongsangbuk-DO Korea/DCD Road 03 DCD Road 04 Giang Dien Industrial Park, Trang Bom District, Dong Nai Province Vietnam</t>
  </si>
  <si>
    <t xml:space="preserve">Kimberly Clark India Pvt Ltd</t>
  </si>
  <si>
    <t xml:space="preserve">APAC-161</t>
  </si>
  <si>
    <t xml:space="preserve">Ho Chi Minh City-Nhava Sheva-40 Ft. / 40 Ft. HC</t>
  </si>
  <si>
    <t xml:space="preserve">Deemyung Chemical Co Ltd / Hans Vina Co Ltd / NTPM Vietnam CO Ltd / Sambo</t>
  </si>
  <si>
    <t xml:space="preserve">9-3 Sanyanggoongdan 2 GIL Sanyang Myeon, Mun-Gyeong-SI Gyeongsangbuk-DO Korea/DCD Road 03 DCD Road 04 Giang Dien Industrial Park, Trang Bom District, Dong Nai Province Vietnam/ No 2 VSIP IIA, Street 23, Singapore Vietnam Industrial Park, Tan Uen Town Vietnam</t>
  </si>
  <si>
    <t xml:space="preserve">0 | 106</t>
  </si>
  <si>
    <t xml:space="preserve">APAC-166</t>
  </si>
  <si>
    <t xml:space="preserve">Ho Chi Minh City-Singapore-20 Ft.</t>
  </si>
  <si>
    <t xml:space="preserve">KC Asia Pacific</t>
  </si>
  <si>
    <t xml:space="preserve">APAC-167</t>
  </si>
  <si>
    <t xml:space="preserve">Ho Chi Minh City-Singapore-40 Ft. / 40 Ft. HC</t>
  </si>
  <si>
    <t xml:space="preserve">APAC-170</t>
  </si>
  <si>
    <t xml:space="preserve">Ho Chi Minh City-Sydney-20 Ft.</t>
  </si>
  <si>
    <t xml:space="preserve">APAC-171</t>
  </si>
  <si>
    <t xml:space="preserve">Ho Chi Minh City-Sydney-40 Ft. / 40 Ft. HC</t>
  </si>
  <si>
    <t xml:space="preserve">0 | 580</t>
  </si>
  <si>
    <t xml:space="preserve">APAC-172</t>
  </si>
  <si>
    <t xml:space="preserve">Ho Chi Minh City-Tanjung Pelepas-20 Ft.</t>
  </si>
  <si>
    <t xml:space="preserve">Kimberly-Clark Products (M) Sdn Bhd/KCPM PTP DC</t>
  </si>
  <si>
    <t xml:space="preserve">APAC-173</t>
  </si>
  <si>
    <t xml:space="preserve">Ho Chi Minh City-Tanjung Pelepas-40 Ft. / 40 Ft. HC</t>
  </si>
  <si>
    <t xml:space="preserve">0 | 582</t>
  </si>
  <si>
    <t xml:space="preserve">APAC-176</t>
  </si>
  <si>
    <t xml:space="preserve">Ho Chi Minh City-Yangon-20 Ft.</t>
  </si>
  <si>
    <t xml:space="preserve">Myanmar</t>
  </si>
  <si>
    <t xml:space="preserve">Yangon</t>
  </si>
  <si>
    <t xml:space="preserve">Mega Lifesciences Pte Ltd</t>
  </si>
  <si>
    <t xml:space="preserve">MMK</t>
  </si>
  <si>
    <t xml:space="preserve">All Motor</t>
  </si>
  <si>
    <t xml:space="preserve">No Trans-Shipments</t>
  </si>
  <si>
    <t xml:space="preserve">Rail Motor</t>
  </si>
  <si>
    <t xml:space="preserve">1 Trans-Shipment</t>
  </si>
  <si>
    <t xml:space="preserve">Barge Motor</t>
  </si>
  <si>
    <t xml:space="preserve">2 Trans-Shipments</t>
  </si>
  <si>
    <t xml:space="preserve">More than 2 Trans-Shipments</t>
  </si>
</sst>
</file>

<file path=xl/styles.xml><?xml version="1.0" encoding="utf-8"?>
<styleSheet xmlns="http://schemas.openxmlformats.org/spreadsheetml/2006/main">
  <numFmts count="4">
    <numFmt numFmtId="164" formatCode="General"/>
    <numFmt numFmtId="165" formatCode="@"/>
    <numFmt numFmtId="166" formatCode="#,##0.00"/>
    <numFmt numFmtId="167" formatCode="#,##0.0000000000"/>
  </numFmts>
  <fonts count="9">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8"/>
      <color rgb="FF000000"/>
      <name val="Arial"/>
      <family val="0"/>
      <charset val="1"/>
    </font>
    <font>
      <b val="true"/>
      <sz val="8"/>
      <color rgb="FFFFFFFF"/>
      <name val="Arial"/>
      <family val="0"/>
      <charset val="1"/>
    </font>
    <font>
      <b val="true"/>
      <sz val="15"/>
      <color rgb="FF000000"/>
      <name val="Arial"/>
      <family val="0"/>
      <charset val="1"/>
    </font>
    <font>
      <b val="true"/>
      <sz val="8"/>
      <color rgb="FF000000"/>
      <name val="Arial"/>
      <family val="0"/>
      <charset val="1"/>
    </font>
  </fonts>
  <fills count="7">
    <fill>
      <patternFill patternType="none"/>
    </fill>
    <fill>
      <patternFill patternType="gray125"/>
    </fill>
    <fill>
      <patternFill patternType="solid">
        <fgColor rgb="FFC6D9F1"/>
        <bgColor rgb="FFC6D9F0"/>
      </patternFill>
    </fill>
    <fill>
      <patternFill patternType="solid">
        <fgColor rgb="FFD9D9D9"/>
        <bgColor rgb="FFC6D9F0"/>
      </patternFill>
    </fill>
    <fill>
      <patternFill patternType="solid">
        <fgColor rgb="FFFFFFFF"/>
        <bgColor rgb="FFFFFFCC"/>
      </patternFill>
    </fill>
    <fill>
      <patternFill patternType="solid">
        <fgColor rgb="FF7030A0"/>
        <bgColor rgb="FF993366"/>
      </patternFill>
    </fill>
    <fill>
      <patternFill patternType="solid">
        <fgColor rgb="FFB3A2C7"/>
        <bgColor rgb="FF9999FF"/>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style="thin">
        <color rgb="FFFFFFFF"/>
      </top>
      <bottom/>
      <diagonal/>
    </border>
    <border diagonalUp="false" diagonalDown="false">
      <left style="thin">
        <color rgb="FFFFFFFF"/>
      </left>
      <right/>
      <top style="thin">
        <color rgb="FFFFFFFF"/>
      </top>
      <bottom/>
      <diagonal/>
    </border>
    <border diagonalUp="false" diagonalDown="false">
      <left style="thin">
        <color rgb="FFFFFFFF"/>
      </left>
      <right style="thin">
        <color rgb="FFFFFFFF"/>
      </right>
      <top style="thin">
        <color rgb="FFFFFFFF"/>
      </top>
      <bottom/>
      <diagonal/>
    </border>
    <border diagonalUp="false" diagonalDown="false">
      <left style="thin">
        <color rgb="FFFFFFFF"/>
      </left>
      <right style="medium"/>
      <top style="thin">
        <color rgb="FFFFFFFF"/>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6" fontId="5" fillId="2" borderId="1" xfId="0" applyFont="true" applyBorder="true" applyAlignment="true" applyProtection="false">
      <alignment horizontal="general" vertical="bottom" textRotation="0" wrapText="true" indent="0" shrinkToFit="false"/>
      <protection locked="true" hidden="false"/>
    </xf>
    <xf numFmtId="166" fontId="5" fillId="3" borderId="1" xfId="0" applyFont="true" applyBorder="true" applyAlignment="true" applyProtection="false">
      <alignment horizontal="general" vertical="bottom" textRotation="0" wrapText="true" indent="0" shrinkToFit="false"/>
      <protection locked="true" hidden="false"/>
    </xf>
    <xf numFmtId="167" fontId="5" fillId="2" borderId="1" xfId="0" applyFont="true" applyBorder="true" applyAlignment="true" applyProtection="false">
      <alignment horizontal="general" vertical="bottom" textRotation="0" wrapText="true" indent="0" shrinkToFit="false"/>
      <protection locked="true" hidden="false"/>
    </xf>
    <xf numFmtId="166" fontId="5" fillId="3" borderId="1" xfId="0" applyFont="true" applyBorder="true" applyAlignment="true" applyProtection="true">
      <alignment horizontal="general" vertical="bottom" textRotation="0" wrapText="true" indent="0" shrinkToFit="false"/>
      <protection locked="false" hidden="false"/>
    </xf>
    <xf numFmtId="165" fontId="5" fillId="3" borderId="1" xfId="0" applyFont="true" applyBorder="true" applyAlignment="true" applyProtection="false">
      <alignment horizontal="general" vertical="bottom" textRotation="0" wrapText="true" indent="0" shrinkToFit="false"/>
      <protection locked="true" hidden="false"/>
    </xf>
    <xf numFmtId="165" fontId="6" fillId="4" borderId="0" xfId="0" applyFont="true" applyBorder="true" applyAlignment="true" applyProtection="false">
      <alignment horizontal="general" vertical="bottom" textRotation="0" wrapText="true" indent="0" shrinkToFit="false"/>
      <protection locked="true" hidden="false"/>
    </xf>
    <xf numFmtId="165" fontId="7" fillId="5" borderId="2" xfId="0" applyFont="true" applyBorder="true" applyAlignment="true" applyProtection="false">
      <alignment horizontal="left" vertical="center" textRotation="0" wrapText="false" indent="0" shrinkToFit="false"/>
      <protection locked="true" hidden="false"/>
    </xf>
    <xf numFmtId="165" fontId="7" fillId="5" borderId="3" xfId="0" applyFont="true" applyBorder="true" applyAlignment="true" applyProtection="false">
      <alignment horizontal="left" vertical="center" textRotation="0" wrapText="false" indent="0" shrinkToFit="false"/>
      <protection locked="true" hidden="false"/>
    </xf>
    <xf numFmtId="165" fontId="7" fillId="5" borderId="4" xfId="0" applyFont="true" applyBorder="true" applyAlignment="true" applyProtection="false">
      <alignment horizontal="left" vertical="center" textRotation="0" wrapText="false" indent="0" shrinkToFit="false"/>
      <protection locked="true" hidden="false"/>
    </xf>
    <xf numFmtId="165" fontId="7" fillId="5" borderId="3" xfId="0" applyFont="true" applyBorder="true" applyAlignment="true" applyProtection="true">
      <alignment horizontal="left" vertical="center" textRotation="0" wrapText="false" indent="0" shrinkToFit="false"/>
      <protection locked="false" hidden="false"/>
    </xf>
    <xf numFmtId="165" fontId="7" fillId="4" borderId="0" xfId="0" applyFont="true" applyBorder="true" applyAlignment="true" applyProtection="false">
      <alignment horizontal="left" vertical="center" textRotation="0" wrapText="false" indent="0" shrinkToFit="false"/>
      <protection locked="true" hidden="false"/>
    </xf>
    <xf numFmtId="166" fontId="6" fillId="5" borderId="5" xfId="0" applyFont="true" applyBorder="true" applyAlignment="true" applyProtection="false">
      <alignment horizontal="general" vertical="bottom" textRotation="0" wrapText="true" indent="0" shrinkToFit="false"/>
      <protection locked="true" hidden="false"/>
    </xf>
    <xf numFmtId="166" fontId="6" fillId="5" borderId="6" xfId="0" applyFont="true" applyBorder="true" applyAlignment="true" applyProtection="false">
      <alignment horizontal="general" vertical="bottom" textRotation="0" wrapText="true" indent="0" shrinkToFit="false"/>
      <protection locked="true" hidden="false"/>
    </xf>
    <xf numFmtId="166" fontId="6" fillId="5" borderId="7" xfId="0" applyFont="true" applyBorder="true" applyAlignment="true" applyProtection="false">
      <alignment horizontal="left" vertical="bottom" textRotation="0" wrapText="true" indent="0" shrinkToFit="false"/>
      <protection locked="true" hidden="false"/>
    </xf>
    <xf numFmtId="166" fontId="6" fillId="5" borderId="8" xfId="0" applyFont="true" applyBorder="true" applyAlignment="true" applyProtection="false">
      <alignment horizontal="general" vertical="bottom" textRotation="0" wrapText="true" indent="0" shrinkToFit="false"/>
      <protection locked="true" hidden="false"/>
    </xf>
    <xf numFmtId="166" fontId="6" fillId="5" borderId="7" xfId="0" applyFont="true" applyBorder="true" applyAlignment="true" applyProtection="false">
      <alignment horizontal="center" vertical="bottom" textRotation="0" wrapText="true" indent="0" shrinkToFit="false"/>
      <protection locked="true" hidden="false"/>
    </xf>
    <xf numFmtId="166" fontId="8" fillId="6" borderId="6" xfId="0" applyFont="true" applyBorder="true" applyAlignment="true" applyProtection="false">
      <alignment horizontal="general" vertical="bottom" textRotation="0" wrapText="true" indent="0" shrinkToFit="false"/>
      <protection locked="true" hidden="false"/>
    </xf>
    <xf numFmtId="166" fontId="8" fillId="6" borderId="6" xfId="0" applyFont="true" applyBorder="true" applyAlignment="true" applyProtection="true">
      <alignment horizontal="general" vertical="bottom" textRotation="0" wrapText="true" indent="0" shrinkToFit="false"/>
      <protection locked="false" hidden="false"/>
    </xf>
    <xf numFmtId="166" fontId="8" fillId="4" borderId="0"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false" indent="0" shrinkToFit="false"/>
      <protection locked="true" hidden="false"/>
    </xf>
    <xf numFmtId="165" fontId="6" fillId="0" borderId="9" xfId="0" applyFont="true" applyBorder="true" applyAlignment="true" applyProtection="false">
      <alignment horizontal="general" vertical="bottom" textRotation="0" wrapText="true" indent="0" shrinkToFit="false"/>
      <protection locked="true" hidden="false"/>
    </xf>
    <xf numFmtId="165" fontId="6"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C6D9F1"/>
        </patternFill>
      </fill>
    </dxf>
    <dxf>
      <fill>
        <patternFill patternType="solid">
          <fgColor rgb="FFF7F7F7"/>
          <bgColor rgb="FF272727"/>
        </patternFill>
      </fill>
    </dxf>
    <dxf>
      <fill>
        <patternFill patternType="solid">
          <fgColor rgb="FFC6D9F0"/>
        </patternFill>
      </fill>
    </dxf>
    <dxf>
      <fill>
        <patternFill patternType="solid">
          <fgColor rgb="FFD9D9D9"/>
        </patternFill>
      </fill>
    </dxf>
    <dxf>
      <fill>
        <patternFill patternType="solid">
          <fgColor rgb="00FFFFFF"/>
        </patternFill>
      </fill>
    </dxf>
    <dxf>
      <fill>
        <patternFill patternType="solid">
          <fgColor rgb="FFFFFFFF"/>
        </patternFill>
      </fill>
    </dxf>
    <dxf>
      <font>
        <color rgb="FFC6D9F0"/>
      </font>
      <fill>
        <patternFill>
          <bgColor rgb="FFC6D9F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7030A0"/>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C6D9F0"/>
      <rgbColor rgb="FFFF99CC"/>
      <rgbColor rgb="FFB3A2C7"/>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T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6" ySplit="5" topLeftCell="AG16" activePane="bottomRight" state="frozen"/>
      <selection pane="topLeft" activeCell="A1" activeCellId="0" sqref="A1"/>
      <selection pane="topRight" activeCell="AG1" activeCellId="0" sqref="AG1"/>
      <selection pane="bottomLeft" activeCell="A16" activeCellId="0" sqref="A16"/>
      <selection pane="bottomRight" activeCell="AJ1" activeCellId="0" sqref="AJ:AJ"/>
    </sheetView>
  </sheetViews>
  <sheetFormatPr defaultColWidth="12.640625" defaultRowHeight="12.8" zeroHeight="false" outlineLevelRow="0" outlineLevelCol="0"/>
  <cols>
    <col collapsed="false" customWidth="true" hidden="true" outlineLevel="0" max="1" min="1" style="0" width="9.13"/>
    <col collapsed="false" customWidth="true" hidden="false" outlineLevel="0" max="2" min="2" style="0" width="11.76"/>
    <col collapsed="false" customWidth="true" hidden="false" outlineLevel="0" max="3" min="3" style="0" width="10.25"/>
    <col collapsed="false" customWidth="true" hidden="false" outlineLevel="0" max="4" min="4" style="0" width="29.37"/>
    <col collapsed="false" customWidth="true" hidden="false" outlineLevel="0" max="5" min="5" style="0" width="28.76"/>
    <col collapsed="false" customWidth="true" hidden="false" outlineLevel="0" max="6" min="6" style="0" width="11.52"/>
    <col collapsed="false" customWidth="true" hidden="false" outlineLevel="0" max="7" min="7" style="0" width="20.76"/>
    <col collapsed="false" customWidth="true" hidden="false" outlineLevel="0" max="8" min="8" style="0" width="10"/>
    <col collapsed="false" customWidth="true" hidden="false" outlineLevel="0" max="9" min="9" style="0" width="18.38"/>
    <col collapsed="false" customWidth="true" hidden="false" outlineLevel="0" max="10" min="10" style="0" width="23.75"/>
    <col collapsed="false" customWidth="true" hidden="false" outlineLevel="0" max="11" min="11" style="0" width="10"/>
    <col collapsed="false" customWidth="true" hidden="false" outlineLevel="0" max="13" min="12" style="0" width="28.76"/>
    <col collapsed="false" customWidth="true" hidden="false" outlineLevel="0" max="14" min="14" style="0" width="16.75"/>
    <col collapsed="false" customWidth="true" hidden="false" outlineLevel="0" max="15" min="15" style="0" width="82.62"/>
    <col collapsed="false" customWidth="true" hidden="false" outlineLevel="0" max="16" min="16" style="0" width="13.37"/>
    <col collapsed="false" customWidth="true" hidden="false" outlineLevel="0" max="19" min="17" style="0" width="28.76"/>
    <col collapsed="false" customWidth="true" hidden="false" outlineLevel="0" max="20" min="20" style="0" width="79.76"/>
    <col collapsed="false" customWidth="true" hidden="false" outlineLevel="0" max="21" min="21" style="0" width="28.76"/>
    <col collapsed="false" customWidth="true" hidden="false" outlineLevel="0" max="22" min="22" style="0" width="12.75"/>
    <col collapsed="false" customWidth="true" hidden="false" outlineLevel="0" max="23" min="23" style="0" width="10"/>
    <col collapsed="false" customWidth="true" hidden="false" outlineLevel="0" max="29" min="24" style="0" width="12.75"/>
    <col collapsed="false" customWidth="true" hidden="false" outlineLevel="0" max="30" min="30" style="0" width="13.63"/>
    <col collapsed="false" customWidth="true" hidden="false" outlineLevel="0" max="31" min="31" style="0" width="17.38"/>
    <col collapsed="false" customWidth="true" hidden="false" outlineLevel="0" max="32" min="32" style="0" width="15.75"/>
    <col collapsed="false" customWidth="true" hidden="false" outlineLevel="0" max="33" min="33" style="0" width="12.75"/>
    <col collapsed="false" customWidth="true" hidden="false" outlineLevel="0" max="34" min="34" style="0" width="13.63"/>
    <col collapsed="false" customWidth="true" hidden="false" outlineLevel="0" max="35" min="35" style="0" width="17.88"/>
    <col collapsed="false" customWidth="true" hidden="false" outlineLevel="0" max="36" min="36" style="1" width="15.75"/>
    <col collapsed="false" customWidth="true" hidden="false" outlineLevel="0" max="39" min="37" style="0" width="12.75"/>
    <col collapsed="false" customWidth="true" hidden="false" outlineLevel="0" max="40" min="40" style="0" width="23.75"/>
    <col collapsed="false" customWidth="true" hidden="false" outlineLevel="0" max="41" min="41" style="0" width="28.76"/>
    <col collapsed="false" customWidth="true" hidden="false" outlineLevel="0" max="45" min="42" style="0" width="22.01"/>
  </cols>
  <sheetData>
    <row r="1" customFormat="false" ht="304.5" hidden="true" customHeight="true" outlineLevel="0" collapsed="false">
      <c r="A1" s="2" t="s">
        <v>0</v>
      </c>
      <c r="B1" s="3" t="s">
        <v>1</v>
      </c>
      <c r="C1" s="3"/>
      <c r="D1" s="3"/>
      <c r="E1" s="3"/>
      <c r="F1" s="3"/>
      <c r="G1" s="3"/>
      <c r="H1" s="3"/>
      <c r="I1" s="3"/>
      <c r="J1" s="3"/>
      <c r="K1" s="3"/>
      <c r="L1" s="3"/>
      <c r="M1" s="3"/>
      <c r="N1" s="3"/>
      <c r="O1" s="3"/>
      <c r="P1" s="3"/>
      <c r="Q1" s="3"/>
      <c r="R1" s="3"/>
      <c r="S1" s="3"/>
      <c r="T1" s="3"/>
      <c r="U1" s="3"/>
      <c r="V1" s="4"/>
      <c r="W1" s="4"/>
      <c r="X1" s="4"/>
      <c r="Y1" s="4"/>
      <c r="Z1" s="4"/>
      <c r="AA1" s="4"/>
      <c r="AB1" s="4"/>
      <c r="AC1" s="5" t="s">
        <v>2</v>
      </c>
      <c r="AD1" s="3"/>
      <c r="AE1" s="6"/>
      <c r="AF1" s="5" t="s">
        <v>3</v>
      </c>
      <c r="AG1" s="5" t="s">
        <v>4</v>
      </c>
      <c r="AH1" s="3"/>
      <c r="AI1" s="6"/>
      <c r="AJ1" s="7" t="s">
        <v>5</v>
      </c>
      <c r="AK1" s="5" t="s">
        <v>6</v>
      </c>
      <c r="AL1" s="4" t="s">
        <v>7</v>
      </c>
      <c r="AM1" s="4"/>
      <c r="AN1" s="8" t="s">
        <v>8</v>
      </c>
      <c r="AO1" s="8" t="s">
        <v>9</v>
      </c>
      <c r="AP1" s="9" t="s">
        <v>10</v>
      </c>
      <c r="AQ1" s="9" t="s">
        <v>11</v>
      </c>
      <c r="AR1" s="9" t="s">
        <v>12</v>
      </c>
      <c r="AS1" s="9" t="s">
        <v>13</v>
      </c>
      <c r="AT1" s="2" t="s">
        <v>14</v>
      </c>
    </row>
    <row r="2" customFormat="false" ht="13.5" hidden="true" customHeight="true" outlineLevel="0" collapsed="false"/>
    <row r="3" customFormat="false" ht="27.75" hidden="false" customHeight="true" outlineLevel="0" collapsed="false">
      <c r="B3" s="10" t="s">
        <v>15</v>
      </c>
      <c r="C3" s="11"/>
      <c r="D3" s="11"/>
      <c r="E3" s="11"/>
      <c r="F3" s="11"/>
      <c r="G3" s="11"/>
      <c r="H3" s="11"/>
      <c r="I3" s="11"/>
      <c r="J3" s="11"/>
      <c r="K3" s="11"/>
      <c r="L3" s="11"/>
      <c r="M3" s="11"/>
      <c r="N3" s="11"/>
      <c r="O3" s="12"/>
      <c r="P3" s="11"/>
      <c r="Q3" s="11"/>
      <c r="R3" s="11"/>
      <c r="S3" s="11"/>
      <c r="T3" s="11"/>
      <c r="U3" s="11"/>
      <c r="V3" s="11"/>
      <c r="W3" s="11"/>
      <c r="X3" s="11"/>
      <c r="Y3" s="11"/>
      <c r="Z3" s="11"/>
      <c r="AA3" s="11"/>
      <c r="AB3" s="11"/>
      <c r="AC3" s="11"/>
      <c r="AD3" s="11"/>
      <c r="AE3" s="11"/>
      <c r="AF3" s="11"/>
      <c r="AG3" s="11"/>
      <c r="AH3" s="11"/>
      <c r="AI3" s="11"/>
      <c r="AJ3" s="13"/>
      <c r="AK3" s="11"/>
      <c r="AL3" s="11"/>
      <c r="AM3" s="11"/>
      <c r="AN3" s="11"/>
      <c r="AO3" s="11"/>
      <c r="AP3" s="14"/>
      <c r="AQ3" s="14"/>
      <c r="AR3" s="14"/>
      <c r="AS3" s="14"/>
    </row>
    <row r="4" customFormat="false" ht="55.5" hidden="false" customHeight="true" outlineLevel="0" collapsed="false">
      <c r="B4" s="15" t="s">
        <v>16</v>
      </c>
      <c r="C4" s="16" t="s">
        <v>17</v>
      </c>
      <c r="D4" s="16" t="s">
        <v>18</v>
      </c>
      <c r="E4" s="16" t="s">
        <v>19</v>
      </c>
      <c r="F4" s="16" t="s">
        <v>20</v>
      </c>
      <c r="G4" s="17" t="s">
        <v>21</v>
      </c>
      <c r="H4" s="16" t="s">
        <v>22</v>
      </c>
      <c r="I4" s="16" t="s">
        <v>23</v>
      </c>
      <c r="J4" s="16" t="s">
        <v>24</v>
      </c>
      <c r="K4" s="16" t="s">
        <v>25</v>
      </c>
      <c r="L4" s="16" t="s">
        <v>26</v>
      </c>
      <c r="M4" s="16" t="s">
        <v>27</v>
      </c>
      <c r="N4" s="16" t="s">
        <v>28</v>
      </c>
      <c r="O4" s="18" t="s">
        <v>29</v>
      </c>
      <c r="P4" s="16" t="s">
        <v>30</v>
      </c>
      <c r="Q4" s="16" t="s">
        <v>31</v>
      </c>
      <c r="R4" s="17" t="s">
        <v>32</v>
      </c>
      <c r="S4" s="17" t="s">
        <v>33</v>
      </c>
      <c r="T4" s="17" t="s">
        <v>34</v>
      </c>
      <c r="U4" s="17" t="s">
        <v>35</v>
      </c>
      <c r="V4" s="16" t="s">
        <v>36</v>
      </c>
      <c r="W4" s="19" t="s">
        <v>37</v>
      </c>
      <c r="X4" s="19" t="s">
        <v>38</v>
      </c>
      <c r="Y4" s="19" t="s">
        <v>39</v>
      </c>
      <c r="Z4" s="19" t="s">
        <v>40</v>
      </c>
      <c r="AA4" s="19" t="s">
        <v>41</v>
      </c>
      <c r="AB4" s="16" t="s">
        <v>42</v>
      </c>
      <c r="AC4" s="20" t="s">
        <v>43</v>
      </c>
      <c r="AD4" s="16" t="s">
        <v>44</v>
      </c>
      <c r="AE4" s="16" t="s">
        <v>45</v>
      </c>
      <c r="AF4" s="20" t="s">
        <v>46</v>
      </c>
      <c r="AG4" s="20" t="s">
        <v>47</v>
      </c>
      <c r="AH4" s="16" t="s">
        <v>48</v>
      </c>
      <c r="AI4" s="16" t="s">
        <v>49</v>
      </c>
      <c r="AJ4" s="21" t="s">
        <v>50</v>
      </c>
      <c r="AK4" s="20" t="s">
        <v>51</v>
      </c>
      <c r="AL4" s="16" t="s">
        <v>52</v>
      </c>
      <c r="AM4" s="16" t="s">
        <v>53</v>
      </c>
      <c r="AN4" s="20" t="s">
        <v>54</v>
      </c>
      <c r="AO4" s="20" t="s">
        <v>55</v>
      </c>
      <c r="AP4" s="22"/>
      <c r="AQ4" s="22"/>
      <c r="AR4" s="22"/>
      <c r="AS4" s="22"/>
    </row>
    <row r="5" customFormat="false" ht="12.75" hidden="false" customHeight="true" outlineLevel="0" collapsed="false">
      <c r="A5" s="2" t="s">
        <v>56</v>
      </c>
      <c r="B5" s="23" t="s">
        <v>57</v>
      </c>
      <c r="C5" s="3" t="s">
        <v>58</v>
      </c>
      <c r="D5" s="3" t="s">
        <v>59</v>
      </c>
      <c r="E5" s="3" t="s">
        <v>60</v>
      </c>
      <c r="F5" s="3" t="s">
        <v>61</v>
      </c>
      <c r="G5" s="3" t="s">
        <v>62</v>
      </c>
      <c r="H5" s="3" t="s">
        <v>58</v>
      </c>
      <c r="I5" s="3" t="s">
        <v>63</v>
      </c>
      <c r="J5" s="3" t="s">
        <v>64</v>
      </c>
      <c r="K5" s="3" t="s">
        <v>58</v>
      </c>
      <c r="L5" s="3" t="s">
        <v>65</v>
      </c>
      <c r="M5" s="3" t="s">
        <v>65</v>
      </c>
      <c r="N5" s="3" t="s">
        <v>66</v>
      </c>
      <c r="O5" s="3" t="s">
        <v>67</v>
      </c>
      <c r="P5" s="3" t="s">
        <v>68</v>
      </c>
      <c r="Q5" s="3"/>
      <c r="R5" s="3" t="s">
        <v>69</v>
      </c>
      <c r="S5" s="3"/>
      <c r="T5" s="3" t="s">
        <v>70</v>
      </c>
      <c r="U5" s="3"/>
      <c r="V5" s="4" t="s">
        <v>71</v>
      </c>
      <c r="W5" s="4"/>
      <c r="X5" s="4" t="s">
        <v>72</v>
      </c>
      <c r="Y5" s="4" t="s">
        <v>73</v>
      </c>
      <c r="Z5" s="4" t="s">
        <v>74</v>
      </c>
      <c r="AA5" s="4" t="s">
        <v>75</v>
      </c>
      <c r="AB5" s="4" t="n">
        <v>271</v>
      </c>
      <c r="AC5" s="5" t="n">
        <v>99999</v>
      </c>
      <c r="AD5" s="3" t="s">
        <v>76</v>
      </c>
      <c r="AE5" s="6" t="n">
        <v>0.8773767083</v>
      </c>
      <c r="AF5" s="5" t="n">
        <v>70</v>
      </c>
      <c r="AG5" s="5" t="n">
        <v>1223</v>
      </c>
      <c r="AH5" s="3" t="s">
        <v>77</v>
      </c>
      <c r="AI5" s="6" t="n">
        <v>7.7922162083</v>
      </c>
      <c r="AJ5" s="7" t="n">
        <v>2910</v>
      </c>
      <c r="AK5" s="5" t="n">
        <v>99999</v>
      </c>
      <c r="AL5" s="4" t="n">
        <f aca="false">(IF(AC5=99999,0,AC5))+((IF(AF5=99999,0,AF5))/AE5)+AG5+(AJ5/AI5)+(IF(AK5=99999,0,AK5))</f>
        <v>1676.23288624258</v>
      </c>
      <c r="AM5" s="4" t="n">
        <f aca="false">AL5+AB5</f>
        <v>1947.23288624258</v>
      </c>
      <c r="AN5" s="8" t="s">
        <v>64</v>
      </c>
      <c r="AO5" s="8" t="s">
        <v>65</v>
      </c>
      <c r="AP5" s="24" t="e">
        <f aca="false">(IF((F5="Port to Port"),(IF(AND(AC5=99999,OR(AF5="",AF5=99999),AG5="",AJ5="",AK5=99999,#REF!="",#REF!="",#REF!="",#REF!="",#REF!="",#REF!="",AN5&lt;&gt;"",#REF!&lt;&gt;"",#REF!="",#REF!="",AO5&lt;&gt;"",#REF!&lt;&gt;"",#REF!="",#REF!="",#REF!="",#REF!=""),"No Bid",IF(AND(AC5=99999,OR(AF5&lt;&gt;"",AF5=99999),AG5&lt;&gt;"",AJ5&lt;&gt;"",AK5=99999,#REF!&lt;&gt;"",#REF!&lt;&gt;"",#REF!&lt;&gt;"",#REF!&lt;&gt;"",#REF!&lt;&gt;"",#REF!&lt;&gt;"",AN5&lt;&gt;"",#REF!&lt;&gt;"",#REF!="",#REF!="",AO5&lt;&gt;"",#REF!&lt;&gt;"",#REF!="",#REF!="",#REF!&lt;&gt;"",(IF((OR(#REF!="No Trans-Shipments",#REF!="")),(AND(#REF!="",#REF!="")),(IF(#REF!="1 Trans-Shipment",(AND(#REF!&lt;&gt;"",#REF!="")),(AND(#REF!&lt;&gt;"",#REF!&lt;&gt;"")))))),#REF!&lt;&gt;""),"Complete Bid","Incomplete Bid")))))</f>
        <v>#REF!</v>
      </c>
      <c r="AQ5" s="25" t="n">
        <f aca="false">(IF((F5="Door to Port"),(IF(AND(AC5="",AF5="",AG5="",AJ5="",AK5=99999,#REF!="",#REF!="",#REF!="",#REF!="",#REF!="",#REF!="",AN5="",#REF!="",#REF!="",#REF!="",AO5&lt;&gt;"",#REF!&lt;&gt;"",#REF!="",#REF!="",#REF!="",#REF!=""),"No Bid",IF(AND(AC5&lt;&gt;"",AF5&lt;&gt;"",AG5&lt;&gt;"",AJ5&lt;&gt;"",AK5=99999,#REF!&lt;&gt;"",#REF!&lt;&gt;"",#REF!&lt;&gt;"",#REF!&lt;&gt;"",#REF!&lt;&gt;"",#REF!&lt;&gt;"",AN5&lt;&gt;"",#REF!&lt;&gt;"",OR(#REF!="",#REF!&lt;&gt;""),#REF!&lt;&gt;"",AO5&lt;&gt;"",#REF!&lt;&gt;"",#REF!="",#REF!="",#REF!&lt;&gt;"",(IF((OR((#REF!="No Trans-Shipments"),(#REF!=""))),(AND(#REF!="",#REF!="")),(IF(#REF!="1 Trans-Shipment",(AND(#REF!&lt;&gt;"",#REF!="")),(AND(#REF!&lt;&gt;"",#REF!&lt;&gt;"")))))),#REF!&lt;&gt;""),"Complete Bid","Incomplete Bid")))))</f>
        <v>0</v>
      </c>
      <c r="AR5" s="25" t="n">
        <f aca="false">(IF((F5="Port to Door"),(IF(AND(AC5=99999,OR(AF5="",AF5=99999),AG5="",AJ5="",AK5="",#REF!="",#REF!="",#REF!="",#REF!="",#REF!="",#REF!="",AN5&lt;&gt;"",#REF!&lt;&gt;"",#REF!="",#REF!="",AO5="",#REF!="",#REF!="",#REF!="",#REF!="",#REF!=""),"No Bid",IF(AND(AC5=99999,OR(AF5&lt;&gt;"",AF5=99999),AG5&lt;&gt;"",AJ5&lt;&gt;"",AK5&lt;&gt;"",#REF!&lt;&gt;"",#REF!&lt;&gt;"",#REF!&lt;&gt;"",#REF!&lt;&gt;"",#REF!&lt;&gt;"",#REF!&lt;&gt;"",AN5&lt;&gt;"",#REF!&lt;&gt;"",#REF!="",#REF!="",AO5&lt;&gt;"",#REF!&lt;&gt;"",OR(#REF!&lt;&gt;"",#REF!=""),#REF!&lt;&gt;"",#REF!&lt;&gt;"",(IF((OR(#REF!="No Trans-Shipments",#REF!="")),(AND(#REF!="",#REF!="")),(IF(#REF!="1 Trans-Shipment",(AND(#REF!&lt;&gt;"",#REF!="")),(AND(#REF!&lt;&gt;"",#REF!&lt;&gt;"")))))),#REF!&lt;&gt;""),"Complete Bid","Incomplete Bid")))))</f>
        <v>0</v>
      </c>
      <c r="AS5" s="25" t="n">
        <f aca="false">(IF((F5="Door to Door"),(IF(AND(AC5="",AF5="",AG5="",AJ5="",AK5="",#REF!="",#REF!="",#REF!="",#REF!="",#REF!="",#REF!="",AN5="",#REF!="",#REF!="",#REF!="",AO5="",#REF!="",#REF!="",#REF!="",#REF!="",#REF!=""),"No Bid",IF(AND(AC5&lt;&gt;"",AF5&lt;&gt;"",AG5&lt;&gt;"",AJ5&lt;&gt;"",AK5&lt;&gt;"",#REF!&lt;&gt;"",#REF!&lt;&gt;"",#REF!&lt;&gt;"",#REF!&lt;&gt;"",#REF!&lt;&gt;"",#REF!&lt;&gt;"",AN5&lt;&gt;"",#REF!&lt;&gt;"",OR(#REF!&lt;&gt;"",#REF!=""),#REF!&lt;&gt;"",AO5&lt;&gt;"",#REF!&lt;&gt;"",OR(#REF!&lt;&gt;"",#REF!=""),#REF!&lt;&gt;"",#REF!&lt;&gt;"",(IF((OR(#REF!="No Trans-Shipments",#REF!="")),(AND(#REF!="",#REF!="")),(IF(#REF!="1 Trans-Shipment",(AND(#REF!&lt;&gt;"",#REF!="")),(AND(#REF!&lt;&gt;"",#REF!&lt;&gt;"")))))),#REF!&lt;&gt;""),"Complete Bid","Incomplete Bid")))))</f>
        <v>0</v>
      </c>
    </row>
    <row r="6" customFormat="false" ht="12.75" hidden="false" customHeight="true" outlineLevel="0" collapsed="false">
      <c r="A6" s="2" t="s">
        <v>56</v>
      </c>
      <c r="B6" s="23" t="s">
        <v>78</v>
      </c>
      <c r="C6" s="3" t="s">
        <v>58</v>
      </c>
      <c r="D6" s="3" t="s">
        <v>79</v>
      </c>
      <c r="E6" s="3" t="s">
        <v>60</v>
      </c>
      <c r="F6" s="3" t="s">
        <v>61</v>
      </c>
      <c r="G6" s="3" t="s">
        <v>62</v>
      </c>
      <c r="H6" s="3" t="s">
        <v>58</v>
      </c>
      <c r="I6" s="3" t="s">
        <v>63</v>
      </c>
      <c r="J6" s="3" t="s">
        <v>64</v>
      </c>
      <c r="K6" s="3" t="s">
        <v>58</v>
      </c>
      <c r="L6" s="3" t="s">
        <v>65</v>
      </c>
      <c r="M6" s="3" t="s">
        <v>65</v>
      </c>
      <c r="N6" s="3" t="s">
        <v>80</v>
      </c>
      <c r="O6" s="3" t="s">
        <v>67</v>
      </c>
      <c r="P6" s="3" t="s">
        <v>68</v>
      </c>
      <c r="Q6" s="3"/>
      <c r="R6" s="3" t="s">
        <v>69</v>
      </c>
      <c r="S6" s="3"/>
      <c r="T6" s="3" t="s">
        <v>70</v>
      </c>
      <c r="U6" s="3"/>
      <c r="V6" s="4" t="s">
        <v>71</v>
      </c>
      <c r="W6" s="4" t="s">
        <v>81</v>
      </c>
      <c r="X6" s="4" t="s">
        <v>72</v>
      </c>
      <c r="Y6" s="4" t="s">
        <v>73</v>
      </c>
      <c r="Z6" s="4" t="s">
        <v>74</v>
      </c>
      <c r="AA6" s="4" t="s">
        <v>75</v>
      </c>
      <c r="AB6" s="4" t="n">
        <v>542</v>
      </c>
      <c r="AC6" s="5" t="n">
        <v>99999</v>
      </c>
      <c r="AD6" s="3" t="s">
        <v>76</v>
      </c>
      <c r="AE6" s="6" t="n">
        <v>0.8773767083</v>
      </c>
      <c r="AF6" s="5" t="n">
        <v>71</v>
      </c>
      <c r="AG6" s="5" t="n">
        <v>1224</v>
      </c>
      <c r="AH6" s="3" t="s">
        <v>77</v>
      </c>
      <c r="AI6" s="6" t="n">
        <v>7.7922162083</v>
      </c>
      <c r="AJ6" s="7"/>
      <c r="AK6" s="5" t="n">
        <v>99999</v>
      </c>
      <c r="AL6" s="4" t="n">
        <f aca="false">(IF(AC6=99999,0,AC6))+((IF(AF6=99999,0,AF6))/AE6)+AG6+(AJ6/AI6)+(IF(AK6=99999,0,AK6))</f>
        <v>1304.92305087238</v>
      </c>
      <c r="AM6" s="4" t="n">
        <f aca="false">AL6+AB6</f>
        <v>1846.92305087238</v>
      </c>
      <c r="AN6" s="8" t="s">
        <v>64</v>
      </c>
      <c r="AO6" s="8" t="s">
        <v>65</v>
      </c>
      <c r="AP6" s="24" t="e">
        <f aca="false">(IF((F6="Port to Port"),(IF(AND(AC6=99999,OR(AF6="",AF6=99999),AG6="",AJ6="",AK6=99999,#REF!="",#REF!="",#REF!="",#REF!="",#REF!="",#REF!="",AN6&lt;&gt;"",#REF!&lt;&gt;"",#REF!="",#REF!="",AO6&lt;&gt;"",#REF!&lt;&gt;"",#REF!="",#REF!="",#REF!="",#REF!=""),"No Bid",IF(AND(AC6=99999,OR(AF6&lt;&gt;"",AF6=99999),AG6&lt;&gt;"",AJ6&lt;&gt;"",AK6=99999,#REF!&lt;&gt;"",#REF!&lt;&gt;"",#REF!&lt;&gt;"",#REF!&lt;&gt;"",#REF!&lt;&gt;"",#REF!&lt;&gt;"",AN6&lt;&gt;"",#REF!&lt;&gt;"",#REF!="",#REF!="",AO6&lt;&gt;"",#REF!&lt;&gt;"",#REF!="",#REF!="",#REF!&lt;&gt;"",(IF((OR(#REF!="No Trans-Shipments",#REF!="")),(AND(#REF!="",#REF!="")),(IF(#REF!="1 Trans-Shipment",(AND(#REF!&lt;&gt;"",#REF!="")),(AND(#REF!&lt;&gt;"",#REF!&lt;&gt;"")))))),#REF!&lt;&gt;""),"Complete Bid","Incomplete Bid")))))</f>
        <v>#REF!</v>
      </c>
      <c r="AQ6" s="25" t="n">
        <f aca="false">(IF((F6="Door to Port"),(IF(AND(AC6="",AF6="",AG6="",AJ6="",AK6=99999,#REF!="",#REF!="",#REF!="",#REF!="",#REF!="",#REF!="",AN6="",#REF!="",#REF!="",#REF!="",AO6&lt;&gt;"",#REF!&lt;&gt;"",#REF!="",#REF!="",#REF!="",#REF!=""),"No Bid",IF(AND(AC6&lt;&gt;"",AF6&lt;&gt;"",AG6&lt;&gt;"",AJ6&lt;&gt;"",AK6=99999,#REF!&lt;&gt;"",#REF!&lt;&gt;"",#REF!&lt;&gt;"",#REF!&lt;&gt;"",#REF!&lt;&gt;"",#REF!&lt;&gt;"",AN6&lt;&gt;"",#REF!&lt;&gt;"",OR(#REF!="",#REF!&lt;&gt;""),#REF!&lt;&gt;"",AO6&lt;&gt;"",#REF!&lt;&gt;"",#REF!="",#REF!="",#REF!&lt;&gt;"",(IF((OR((#REF!="No Trans-Shipments"),(#REF!=""))),(AND(#REF!="",#REF!="")),(IF(#REF!="1 Trans-Shipment",(AND(#REF!&lt;&gt;"",#REF!="")),(AND(#REF!&lt;&gt;"",#REF!&lt;&gt;"")))))),#REF!&lt;&gt;""),"Complete Bid","Incomplete Bid")))))</f>
        <v>0</v>
      </c>
      <c r="AR6" s="25" t="n">
        <f aca="false">(IF((F6="Port to Door"),(IF(AND(AC6=99999,OR(AF6="",AF6=99999),AG6="",AJ6="",AK6="",#REF!="",#REF!="",#REF!="",#REF!="",#REF!="",#REF!="",AN6&lt;&gt;"",#REF!&lt;&gt;"",#REF!="",#REF!="",AO6="",#REF!="",#REF!="",#REF!="",#REF!="",#REF!=""),"No Bid",IF(AND(AC6=99999,OR(AF6&lt;&gt;"",AF6=99999),AG6&lt;&gt;"",AJ6&lt;&gt;"",AK6&lt;&gt;"",#REF!&lt;&gt;"",#REF!&lt;&gt;"",#REF!&lt;&gt;"",#REF!&lt;&gt;"",#REF!&lt;&gt;"",#REF!&lt;&gt;"",AN6&lt;&gt;"",#REF!&lt;&gt;"",#REF!="",#REF!="",AO6&lt;&gt;"",#REF!&lt;&gt;"",OR(#REF!&lt;&gt;"",#REF!=""),#REF!&lt;&gt;"",#REF!&lt;&gt;"",(IF((OR(#REF!="No Trans-Shipments",#REF!="")),(AND(#REF!="",#REF!="")),(IF(#REF!="1 Trans-Shipment",(AND(#REF!&lt;&gt;"",#REF!="")),(AND(#REF!&lt;&gt;"",#REF!&lt;&gt;"")))))),#REF!&lt;&gt;""),"Complete Bid","Incomplete Bid")))))</f>
        <v>0</v>
      </c>
      <c r="AS6" s="25" t="n">
        <f aca="false">(IF((F6="Door to Door"),(IF(AND(AC6="",AF6="",AG6="",AJ6="",AK6="",#REF!="",#REF!="",#REF!="",#REF!="",#REF!="",#REF!="",AN6="",#REF!="",#REF!="",#REF!="",AO6="",#REF!="",#REF!="",#REF!="",#REF!="",#REF!=""),"No Bid",IF(AND(AC6&lt;&gt;"",AF6&lt;&gt;"",AG6&lt;&gt;"",AJ6&lt;&gt;"",AK6&lt;&gt;"",#REF!&lt;&gt;"",#REF!&lt;&gt;"",#REF!&lt;&gt;"",#REF!&lt;&gt;"",#REF!&lt;&gt;"",#REF!&lt;&gt;"",AN6&lt;&gt;"",#REF!&lt;&gt;"",OR(#REF!&lt;&gt;"",#REF!=""),#REF!&lt;&gt;"",AO6&lt;&gt;"",#REF!&lt;&gt;"",OR(#REF!&lt;&gt;"",#REF!=""),#REF!&lt;&gt;"",#REF!&lt;&gt;"",(IF((OR(#REF!="No Trans-Shipments",#REF!="")),(AND(#REF!="",#REF!="")),(IF(#REF!="1 Trans-Shipment",(AND(#REF!&lt;&gt;"",#REF!="")),(AND(#REF!&lt;&gt;"",#REF!&lt;&gt;"")))))),#REF!&lt;&gt;""),"Complete Bid","Incomplete Bid")))))</f>
        <v>0</v>
      </c>
    </row>
    <row r="7" customFormat="false" ht="12.75" hidden="false" customHeight="true" outlineLevel="0" collapsed="false">
      <c r="A7" s="2" t="s">
        <v>56</v>
      </c>
      <c r="B7" s="23" t="s">
        <v>82</v>
      </c>
      <c r="C7" s="3" t="s">
        <v>58</v>
      </c>
      <c r="D7" s="3" t="s">
        <v>83</v>
      </c>
      <c r="E7" s="3" t="s">
        <v>84</v>
      </c>
      <c r="F7" s="3" t="s">
        <v>61</v>
      </c>
      <c r="G7" s="3" t="s">
        <v>62</v>
      </c>
      <c r="H7" s="3" t="s">
        <v>85</v>
      </c>
      <c r="I7" s="3" t="s">
        <v>63</v>
      </c>
      <c r="J7" s="3" t="s">
        <v>64</v>
      </c>
      <c r="K7" s="3" t="s">
        <v>58</v>
      </c>
      <c r="L7" s="3" t="s">
        <v>86</v>
      </c>
      <c r="M7" s="3" t="s">
        <v>87</v>
      </c>
      <c r="N7" s="3" t="s">
        <v>66</v>
      </c>
      <c r="O7" s="3"/>
      <c r="P7" s="3" t="s">
        <v>68</v>
      </c>
      <c r="Q7" s="3"/>
      <c r="R7" s="3" t="s">
        <v>88</v>
      </c>
      <c r="S7" s="3"/>
      <c r="T7" s="3" t="s">
        <v>89</v>
      </c>
      <c r="U7" s="3"/>
      <c r="V7" s="4" t="s">
        <v>75</v>
      </c>
      <c r="W7" s="4"/>
      <c r="X7" s="4" t="s">
        <v>72</v>
      </c>
      <c r="Y7" s="4" t="s">
        <v>73</v>
      </c>
      <c r="Z7" s="4" t="s">
        <v>72</v>
      </c>
      <c r="AA7" s="4" t="s">
        <v>90</v>
      </c>
      <c r="AB7" s="4" t="n">
        <v>542</v>
      </c>
      <c r="AC7" s="5" t="n">
        <v>99999</v>
      </c>
      <c r="AD7" s="3" t="s">
        <v>76</v>
      </c>
      <c r="AE7" s="6" t="n">
        <v>0.8773767083</v>
      </c>
      <c r="AF7" s="5" t="n">
        <v>72</v>
      </c>
      <c r="AG7" s="5" t="n">
        <v>1225</v>
      </c>
      <c r="AH7" s="3" t="s">
        <v>91</v>
      </c>
      <c r="AI7" s="6" t="n">
        <v>1.3964683333</v>
      </c>
      <c r="AJ7" s="7"/>
      <c r="AK7" s="5" t="n">
        <v>99999</v>
      </c>
      <c r="AL7" s="4" t="n">
        <f aca="false">(IF(AC7=99999,0,AC7))+((IF(AF7=99999,0,AF7))/AE7)+AG7+(AJ7/AI7)+(IF(AK7=99999,0,AK7))</f>
        <v>1307.06281215227</v>
      </c>
      <c r="AM7" s="4" t="n">
        <f aca="false">AL7+AB7</f>
        <v>1849.06281215227</v>
      </c>
      <c r="AN7" s="8" t="s">
        <v>64</v>
      </c>
      <c r="AO7" s="8" t="s">
        <v>87</v>
      </c>
      <c r="AP7" s="24" t="e">
        <f aca="false">(IF((F7="Port to Port"),(IF(AND(AC7=99999,OR(AF7="",AF7=99999),AG7="",AJ7="",AK7=99999,#REF!="",#REF!="",#REF!="",#REF!="",#REF!="",#REF!="",AN7&lt;&gt;"",#REF!&lt;&gt;"",#REF!="",#REF!="",AO7&lt;&gt;"",#REF!&lt;&gt;"",#REF!="",#REF!="",#REF!="",#REF!=""),"No Bid",IF(AND(AC7=99999,OR(AF7&lt;&gt;"",AF7=99999),AG7&lt;&gt;"",AJ7&lt;&gt;"",AK7=99999,#REF!&lt;&gt;"",#REF!&lt;&gt;"",#REF!&lt;&gt;"",#REF!&lt;&gt;"",#REF!&lt;&gt;"",#REF!&lt;&gt;"",AN7&lt;&gt;"",#REF!&lt;&gt;"",#REF!="",#REF!="",AO7&lt;&gt;"",#REF!&lt;&gt;"",#REF!="",#REF!="",#REF!&lt;&gt;"",(IF((OR(#REF!="No Trans-Shipments",#REF!="")),(AND(#REF!="",#REF!="")),(IF(#REF!="1 Trans-Shipment",(AND(#REF!&lt;&gt;"",#REF!="")),(AND(#REF!&lt;&gt;"",#REF!&lt;&gt;"")))))),#REF!&lt;&gt;""),"Complete Bid","Incomplete Bid")))))</f>
        <v>#REF!</v>
      </c>
      <c r="AQ7" s="25" t="n">
        <f aca="false">(IF((F7="Door to Port"),(IF(AND(AC7="",AF7="",AG7="",AJ7="",AK7=99999,#REF!="",#REF!="",#REF!="",#REF!="",#REF!="",#REF!="",AN7="",#REF!="",#REF!="",#REF!="",AO7&lt;&gt;"",#REF!&lt;&gt;"",#REF!="",#REF!="",#REF!="",#REF!=""),"No Bid",IF(AND(AC7&lt;&gt;"",AF7&lt;&gt;"",AG7&lt;&gt;"",AJ7&lt;&gt;"",AK7=99999,#REF!&lt;&gt;"",#REF!&lt;&gt;"",#REF!&lt;&gt;"",#REF!&lt;&gt;"",#REF!&lt;&gt;"",#REF!&lt;&gt;"",AN7&lt;&gt;"",#REF!&lt;&gt;"",OR(#REF!="",#REF!&lt;&gt;""),#REF!&lt;&gt;"",AO7&lt;&gt;"",#REF!&lt;&gt;"",#REF!="",#REF!="",#REF!&lt;&gt;"",(IF((OR((#REF!="No Trans-Shipments"),(#REF!=""))),(AND(#REF!="",#REF!="")),(IF(#REF!="1 Trans-Shipment",(AND(#REF!&lt;&gt;"",#REF!="")),(AND(#REF!&lt;&gt;"",#REF!&lt;&gt;"")))))),#REF!&lt;&gt;""),"Complete Bid","Incomplete Bid")))))</f>
        <v>0</v>
      </c>
      <c r="AR7" s="25" t="n">
        <f aca="false">(IF((F7="Port to Door"),(IF(AND(AC7=99999,OR(AF7="",AF7=99999),AG7="",AJ7="",AK7="",#REF!="",#REF!="",#REF!="",#REF!="",#REF!="",#REF!="",AN7&lt;&gt;"",#REF!&lt;&gt;"",#REF!="",#REF!="",AO7="",#REF!="",#REF!="",#REF!="",#REF!="",#REF!=""),"No Bid",IF(AND(AC7=99999,OR(AF7&lt;&gt;"",AF7=99999),AG7&lt;&gt;"",AJ7&lt;&gt;"",AK7&lt;&gt;"",#REF!&lt;&gt;"",#REF!&lt;&gt;"",#REF!&lt;&gt;"",#REF!&lt;&gt;"",#REF!&lt;&gt;"",#REF!&lt;&gt;"",AN7&lt;&gt;"",#REF!&lt;&gt;"",#REF!="",#REF!="",AO7&lt;&gt;"",#REF!&lt;&gt;"",OR(#REF!&lt;&gt;"",#REF!=""),#REF!&lt;&gt;"",#REF!&lt;&gt;"",(IF((OR(#REF!="No Trans-Shipments",#REF!="")),(AND(#REF!="",#REF!="")),(IF(#REF!="1 Trans-Shipment",(AND(#REF!&lt;&gt;"",#REF!="")),(AND(#REF!&lt;&gt;"",#REF!&lt;&gt;"")))))),#REF!&lt;&gt;""),"Complete Bid","Incomplete Bid")))))</f>
        <v>0</v>
      </c>
      <c r="AS7" s="25" t="n">
        <f aca="false">(IF((F7="Door to Door"),(IF(AND(AC7="",AF7="",AG7="",AJ7="",AK7="",#REF!="",#REF!="",#REF!="",#REF!="",#REF!="",#REF!="",AN7="",#REF!="",#REF!="",#REF!="",AO7="",#REF!="",#REF!="",#REF!="",#REF!="",#REF!=""),"No Bid",IF(AND(AC7&lt;&gt;"",AF7&lt;&gt;"",AG7&lt;&gt;"",AJ7&lt;&gt;"",AK7&lt;&gt;"",#REF!&lt;&gt;"",#REF!&lt;&gt;"",#REF!&lt;&gt;"",#REF!&lt;&gt;"",#REF!&lt;&gt;"",#REF!&lt;&gt;"",AN7&lt;&gt;"",#REF!&lt;&gt;"",OR(#REF!&lt;&gt;"",#REF!=""),#REF!&lt;&gt;"",AO7&lt;&gt;"",#REF!&lt;&gt;"",OR(#REF!&lt;&gt;"",#REF!=""),#REF!&lt;&gt;"",#REF!&lt;&gt;"",(IF((OR(#REF!="No Trans-Shipments",#REF!="")),(AND(#REF!="",#REF!="")),(IF(#REF!="1 Trans-Shipment",(AND(#REF!&lt;&gt;"",#REF!="")),(AND(#REF!&lt;&gt;"",#REF!&lt;&gt;"")))))),#REF!&lt;&gt;""),"Complete Bid","Incomplete Bid")))))</f>
        <v>0</v>
      </c>
    </row>
    <row r="8" customFormat="false" ht="12.75" hidden="false" customHeight="true" outlineLevel="0" collapsed="false">
      <c r="A8" s="2" t="s">
        <v>56</v>
      </c>
      <c r="B8" s="23" t="s">
        <v>92</v>
      </c>
      <c r="C8" s="3" t="s">
        <v>58</v>
      </c>
      <c r="D8" s="3" t="s">
        <v>93</v>
      </c>
      <c r="E8" s="3" t="s">
        <v>84</v>
      </c>
      <c r="F8" s="3" t="s">
        <v>61</v>
      </c>
      <c r="G8" s="3" t="s">
        <v>62</v>
      </c>
      <c r="H8" s="3" t="s">
        <v>85</v>
      </c>
      <c r="I8" s="3" t="s">
        <v>63</v>
      </c>
      <c r="J8" s="3" t="s">
        <v>64</v>
      </c>
      <c r="K8" s="3" t="s">
        <v>58</v>
      </c>
      <c r="L8" s="3" t="s">
        <v>86</v>
      </c>
      <c r="M8" s="3" t="s">
        <v>87</v>
      </c>
      <c r="N8" s="3" t="s">
        <v>80</v>
      </c>
      <c r="O8" s="3"/>
      <c r="P8" s="3" t="s">
        <v>68</v>
      </c>
      <c r="Q8" s="3"/>
      <c r="R8" s="3" t="s">
        <v>88</v>
      </c>
      <c r="S8" s="3"/>
      <c r="T8" s="3" t="s">
        <v>89</v>
      </c>
      <c r="U8" s="3"/>
      <c r="V8" s="4" t="s">
        <v>94</v>
      </c>
      <c r="W8" s="4" t="s">
        <v>95</v>
      </c>
      <c r="X8" s="4" t="s">
        <v>72</v>
      </c>
      <c r="Y8" s="4" t="s">
        <v>73</v>
      </c>
      <c r="Z8" s="4" t="s">
        <v>72</v>
      </c>
      <c r="AA8" s="4" t="s">
        <v>90</v>
      </c>
      <c r="AB8" s="4" t="n">
        <v>1084</v>
      </c>
      <c r="AC8" s="5" t="n">
        <v>99999</v>
      </c>
      <c r="AD8" s="3" t="s">
        <v>76</v>
      </c>
      <c r="AE8" s="6" t="n">
        <v>0.8773767083</v>
      </c>
      <c r="AF8" s="5" t="n">
        <v>73</v>
      </c>
      <c r="AG8" s="5" t="n">
        <v>1226</v>
      </c>
      <c r="AH8" s="3" t="s">
        <v>91</v>
      </c>
      <c r="AI8" s="6" t="n">
        <v>1.3964683333</v>
      </c>
      <c r="AJ8" s="7"/>
      <c r="AK8" s="5" t="n">
        <v>99999</v>
      </c>
      <c r="AL8" s="4" t="n">
        <f aca="false">(IF(AC8=99999,0,AC8))+((IF(AF8=99999,0,AF8))/AE8)+AG8+(AJ8/AI8)+(IF(AK8=99999,0,AK8))</f>
        <v>1309.20257343216</v>
      </c>
      <c r="AM8" s="4" t="n">
        <f aca="false">AL8+AB8</f>
        <v>2393.20257343216</v>
      </c>
      <c r="AN8" s="8" t="s">
        <v>64</v>
      </c>
      <c r="AO8" s="8" t="s">
        <v>87</v>
      </c>
      <c r="AP8" s="24" t="e">
        <f aca="false">(IF((F8="Port to Port"),(IF(AND(AC8=99999,OR(AF8="",AF8=99999),AG8="",AJ8="",AK8=99999,#REF!="",#REF!="",#REF!="",#REF!="",#REF!="",#REF!="",AN8&lt;&gt;"",#REF!&lt;&gt;"",#REF!="",#REF!="",AO8&lt;&gt;"",#REF!&lt;&gt;"",#REF!="",#REF!="",#REF!="",#REF!=""),"No Bid",IF(AND(AC8=99999,OR(AF8&lt;&gt;"",AF8=99999),AG8&lt;&gt;"",AJ8&lt;&gt;"",AK8=99999,#REF!&lt;&gt;"",#REF!&lt;&gt;"",#REF!&lt;&gt;"",#REF!&lt;&gt;"",#REF!&lt;&gt;"",#REF!&lt;&gt;"",AN8&lt;&gt;"",#REF!&lt;&gt;"",#REF!="",#REF!="",AO8&lt;&gt;"",#REF!&lt;&gt;"",#REF!="",#REF!="",#REF!&lt;&gt;"",(IF((OR(#REF!="No Trans-Shipments",#REF!="")),(AND(#REF!="",#REF!="")),(IF(#REF!="1 Trans-Shipment",(AND(#REF!&lt;&gt;"",#REF!="")),(AND(#REF!&lt;&gt;"",#REF!&lt;&gt;"")))))),#REF!&lt;&gt;""),"Complete Bid","Incomplete Bid")))))</f>
        <v>#REF!</v>
      </c>
      <c r="AQ8" s="25" t="n">
        <f aca="false">(IF((F8="Door to Port"),(IF(AND(AC8="",AF8="",AG8="",AJ8="",AK8=99999,#REF!="",#REF!="",#REF!="",#REF!="",#REF!="",#REF!="",AN8="",#REF!="",#REF!="",#REF!="",AO8&lt;&gt;"",#REF!&lt;&gt;"",#REF!="",#REF!="",#REF!="",#REF!=""),"No Bid",IF(AND(AC8&lt;&gt;"",AF8&lt;&gt;"",AG8&lt;&gt;"",AJ8&lt;&gt;"",AK8=99999,#REF!&lt;&gt;"",#REF!&lt;&gt;"",#REF!&lt;&gt;"",#REF!&lt;&gt;"",#REF!&lt;&gt;"",#REF!&lt;&gt;"",AN8&lt;&gt;"",#REF!&lt;&gt;"",OR(#REF!="",#REF!&lt;&gt;""),#REF!&lt;&gt;"",AO8&lt;&gt;"",#REF!&lt;&gt;"",#REF!="",#REF!="",#REF!&lt;&gt;"",(IF((OR((#REF!="No Trans-Shipments"),(#REF!=""))),(AND(#REF!="",#REF!="")),(IF(#REF!="1 Trans-Shipment",(AND(#REF!&lt;&gt;"",#REF!="")),(AND(#REF!&lt;&gt;"",#REF!&lt;&gt;"")))))),#REF!&lt;&gt;""),"Complete Bid","Incomplete Bid")))))</f>
        <v>0</v>
      </c>
      <c r="AR8" s="25" t="n">
        <f aca="false">(IF((F8="Port to Door"),(IF(AND(AC8=99999,OR(AF8="",AF8=99999),AG8="",AJ8="",AK8="",#REF!="",#REF!="",#REF!="",#REF!="",#REF!="",#REF!="",AN8&lt;&gt;"",#REF!&lt;&gt;"",#REF!="",#REF!="",AO8="",#REF!="",#REF!="",#REF!="",#REF!="",#REF!=""),"No Bid",IF(AND(AC8=99999,OR(AF8&lt;&gt;"",AF8=99999),AG8&lt;&gt;"",AJ8&lt;&gt;"",AK8&lt;&gt;"",#REF!&lt;&gt;"",#REF!&lt;&gt;"",#REF!&lt;&gt;"",#REF!&lt;&gt;"",#REF!&lt;&gt;"",#REF!&lt;&gt;"",AN8&lt;&gt;"",#REF!&lt;&gt;"",#REF!="",#REF!="",AO8&lt;&gt;"",#REF!&lt;&gt;"",OR(#REF!&lt;&gt;"",#REF!=""),#REF!&lt;&gt;"",#REF!&lt;&gt;"",(IF((OR(#REF!="No Trans-Shipments",#REF!="")),(AND(#REF!="",#REF!="")),(IF(#REF!="1 Trans-Shipment",(AND(#REF!&lt;&gt;"",#REF!="")),(AND(#REF!&lt;&gt;"",#REF!&lt;&gt;"")))))),#REF!&lt;&gt;""),"Complete Bid","Incomplete Bid")))))</f>
        <v>0</v>
      </c>
      <c r="AS8" s="25" t="n">
        <f aca="false">(IF((F8="Door to Door"),(IF(AND(AC8="",AF8="",AG8="",AJ8="",AK8="",#REF!="",#REF!="",#REF!="",#REF!="",#REF!="",#REF!="",AN8="",#REF!="",#REF!="",#REF!="",AO8="",#REF!="",#REF!="",#REF!="",#REF!="",#REF!=""),"No Bid",IF(AND(AC8&lt;&gt;"",AF8&lt;&gt;"",AG8&lt;&gt;"",AJ8&lt;&gt;"",AK8&lt;&gt;"",#REF!&lt;&gt;"",#REF!&lt;&gt;"",#REF!&lt;&gt;"",#REF!&lt;&gt;"",#REF!&lt;&gt;"",#REF!&lt;&gt;"",AN8&lt;&gt;"",#REF!&lt;&gt;"",OR(#REF!&lt;&gt;"",#REF!=""),#REF!&lt;&gt;"",AO8&lt;&gt;"",#REF!&lt;&gt;"",OR(#REF!&lt;&gt;"",#REF!=""),#REF!&lt;&gt;"",#REF!&lt;&gt;"",(IF((OR(#REF!="No Trans-Shipments",#REF!="")),(AND(#REF!="",#REF!="")),(IF(#REF!="1 Trans-Shipment",(AND(#REF!&lt;&gt;"",#REF!="")),(AND(#REF!&lt;&gt;"",#REF!&lt;&gt;"")))))),#REF!&lt;&gt;""),"Complete Bid","Incomplete Bid")))))</f>
        <v>0</v>
      </c>
    </row>
    <row r="9" customFormat="false" ht="12.75" hidden="false" customHeight="true" outlineLevel="0" collapsed="false">
      <c r="A9" s="2" t="s">
        <v>56</v>
      </c>
      <c r="B9" s="23" t="s">
        <v>96</v>
      </c>
      <c r="C9" s="3" t="s">
        <v>58</v>
      </c>
      <c r="D9" s="3" t="s">
        <v>97</v>
      </c>
      <c r="E9" s="3" t="s">
        <v>60</v>
      </c>
      <c r="F9" s="3" t="s">
        <v>61</v>
      </c>
      <c r="G9" s="3" t="s">
        <v>62</v>
      </c>
      <c r="H9" s="3" t="s">
        <v>58</v>
      </c>
      <c r="I9" s="3" t="s">
        <v>98</v>
      </c>
      <c r="J9" s="3" t="s">
        <v>99</v>
      </c>
      <c r="K9" s="3" t="s">
        <v>58</v>
      </c>
      <c r="L9" s="3" t="s">
        <v>65</v>
      </c>
      <c r="M9" s="3" t="s">
        <v>65</v>
      </c>
      <c r="N9" s="3" t="s">
        <v>66</v>
      </c>
      <c r="O9" s="3" t="s">
        <v>67</v>
      </c>
      <c r="P9" s="3" t="s">
        <v>68</v>
      </c>
      <c r="Q9" s="3"/>
      <c r="R9" s="3" t="s">
        <v>69</v>
      </c>
      <c r="S9" s="3"/>
      <c r="T9" s="3" t="s">
        <v>70</v>
      </c>
      <c r="U9" s="3"/>
      <c r="V9" s="4" t="s">
        <v>71</v>
      </c>
      <c r="W9" s="4"/>
      <c r="X9" s="4" t="s">
        <v>75</v>
      </c>
      <c r="Y9" s="4" t="s">
        <v>75</v>
      </c>
      <c r="Z9" s="4" t="s">
        <v>74</v>
      </c>
      <c r="AA9" s="4" t="s">
        <v>75</v>
      </c>
      <c r="AB9" s="4" t="n">
        <v>271</v>
      </c>
      <c r="AC9" s="5" t="n">
        <v>99999</v>
      </c>
      <c r="AD9" s="3" t="s">
        <v>100</v>
      </c>
      <c r="AE9" s="6" t="n">
        <v>0.74955925</v>
      </c>
      <c r="AF9" s="5" t="n">
        <v>74</v>
      </c>
      <c r="AG9" s="5" t="n">
        <v>1227</v>
      </c>
      <c r="AH9" s="3" t="s">
        <v>77</v>
      </c>
      <c r="AI9" s="6" t="n">
        <v>7.7922162083</v>
      </c>
      <c r="AJ9" s="7"/>
      <c r="AK9" s="5" t="n">
        <v>99999</v>
      </c>
      <c r="AL9" s="4" t="n">
        <f aca="false">(IF(AC9=99999,0,AC9))+((IF(AF9=99999,0,AF9))/AE9)+AG9+(AJ9/AI9)+(IF(AK9=99999,0,AK9))</f>
        <v>1325.72468387256</v>
      </c>
      <c r="AM9" s="4" t="n">
        <f aca="false">AL9+AB9</f>
        <v>1596.72468387256</v>
      </c>
      <c r="AN9" s="8" t="s">
        <v>99</v>
      </c>
      <c r="AO9" s="8" t="s">
        <v>65</v>
      </c>
      <c r="AP9" s="24" t="e">
        <f aca="false">(IF((F9="Port to Port"),(IF(AND(AC9=99999,OR(AF9="",AF9=99999),AG9="",AJ9="",AK9=99999,#REF!="",#REF!="",#REF!="",#REF!="",#REF!="",#REF!="",AN9&lt;&gt;"",#REF!&lt;&gt;"",#REF!="",#REF!="",AO9&lt;&gt;"",#REF!&lt;&gt;"",#REF!="",#REF!="",#REF!="",#REF!=""),"No Bid",IF(AND(AC9=99999,OR(AF9&lt;&gt;"",AF9=99999),AG9&lt;&gt;"",AJ9&lt;&gt;"",AK9=99999,#REF!&lt;&gt;"",#REF!&lt;&gt;"",#REF!&lt;&gt;"",#REF!&lt;&gt;"",#REF!&lt;&gt;"",#REF!&lt;&gt;"",AN9&lt;&gt;"",#REF!&lt;&gt;"",#REF!="",#REF!="",AO9&lt;&gt;"",#REF!&lt;&gt;"",#REF!="",#REF!="",#REF!&lt;&gt;"",(IF((OR(#REF!="No Trans-Shipments",#REF!="")),(AND(#REF!="",#REF!="")),(IF(#REF!="1 Trans-Shipment",(AND(#REF!&lt;&gt;"",#REF!="")),(AND(#REF!&lt;&gt;"",#REF!&lt;&gt;"")))))),#REF!&lt;&gt;""),"Complete Bid","Incomplete Bid")))))</f>
        <v>#REF!</v>
      </c>
      <c r="AQ9" s="25" t="n">
        <f aca="false">(IF((F9="Door to Port"),(IF(AND(AC9="",AF9="",AG9="",AJ9="",AK9=99999,#REF!="",#REF!="",#REF!="",#REF!="",#REF!="",#REF!="",AN9="",#REF!="",#REF!="",#REF!="",AO9&lt;&gt;"",#REF!&lt;&gt;"",#REF!="",#REF!="",#REF!="",#REF!=""),"No Bid",IF(AND(AC9&lt;&gt;"",AF9&lt;&gt;"",AG9&lt;&gt;"",AJ9&lt;&gt;"",AK9=99999,#REF!&lt;&gt;"",#REF!&lt;&gt;"",#REF!&lt;&gt;"",#REF!&lt;&gt;"",#REF!&lt;&gt;"",#REF!&lt;&gt;"",AN9&lt;&gt;"",#REF!&lt;&gt;"",OR(#REF!="",#REF!&lt;&gt;""),#REF!&lt;&gt;"",AO9&lt;&gt;"",#REF!&lt;&gt;"",#REF!="",#REF!="",#REF!&lt;&gt;"",(IF((OR((#REF!="No Trans-Shipments"),(#REF!=""))),(AND(#REF!="",#REF!="")),(IF(#REF!="1 Trans-Shipment",(AND(#REF!&lt;&gt;"",#REF!="")),(AND(#REF!&lt;&gt;"",#REF!&lt;&gt;"")))))),#REF!&lt;&gt;""),"Complete Bid","Incomplete Bid")))))</f>
        <v>0</v>
      </c>
      <c r="AR9" s="25" t="n">
        <f aca="false">(IF((F9="Port to Door"),(IF(AND(AC9=99999,OR(AF9="",AF9=99999),AG9="",AJ9="",AK9="",#REF!="",#REF!="",#REF!="",#REF!="",#REF!="",#REF!="",AN9&lt;&gt;"",#REF!&lt;&gt;"",#REF!="",#REF!="",AO9="",#REF!="",#REF!="",#REF!="",#REF!="",#REF!=""),"No Bid",IF(AND(AC9=99999,OR(AF9&lt;&gt;"",AF9=99999),AG9&lt;&gt;"",AJ9&lt;&gt;"",AK9&lt;&gt;"",#REF!&lt;&gt;"",#REF!&lt;&gt;"",#REF!&lt;&gt;"",#REF!&lt;&gt;"",#REF!&lt;&gt;"",#REF!&lt;&gt;"",AN9&lt;&gt;"",#REF!&lt;&gt;"",#REF!="",#REF!="",AO9&lt;&gt;"",#REF!&lt;&gt;"",OR(#REF!&lt;&gt;"",#REF!=""),#REF!&lt;&gt;"",#REF!&lt;&gt;"",(IF((OR(#REF!="No Trans-Shipments",#REF!="")),(AND(#REF!="",#REF!="")),(IF(#REF!="1 Trans-Shipment",(AND(#REF!&lt;&gt;"",#REF!="")),(AND(#REF!&lt;&gt;"",#REF!&lt;&gt;"")))))),#REF!&lt;&gt;""),"Complete Bid","Incomplete Bid")))))</f>
        <v>0</v>
      </c>
      <c r="AS9" s="25" t="n">
        <f aca="false">(IF((F9="Door to Door"),(IF(AND(AC9="",AF9="",AG9="",AJ9="",AK9="",#REF!="",#REF!="",#REF!="",#REF!="",#REF!="",#REF!="",AN9="",#REF!="",#REF!="",#REF!="",AO9="",#REF!="",#REF!="",#REF!="",#REF!="",#REF!=""),"No Bid",IF(AND(AC9&lt;&gt;"",AF9&lt;&gt;"",AG9&lt;&gt;"",AJ9&lt;&gt;"",AK9&lt;&gt;"",#REF!&lt;&gt;"",#REF!&lt;&gt;"",#REF!&lt;&gt;"",#REF!&lt;&gt;"",#REF!&lt;&gt;"",#REF!&lt;&gt;"",AN9&lt;&gt;"",#REF!&lt;&gt;"",OR(#REF!&lt;&gt;"",#REF!=""),#REF!&lt;&gt;"",AO9&lt;&gt;"",#REF!&lt;&gt;"",OR(#REF!&lt;&gt;"",#REF!=""),#REF!&lt;&gt;"",#REF!&lt;&gt;"",(IF((OR(#REF!="No Trans-Shipments",#REF!="")),(AND(#REF!="",#REF!="")),(IF(#REF!="1 Trans-Shipment",(AND(#REF!&lt;&gt;"",#REF!="")),(AND(#REF!&lt;&gt;"",#REF!&lt;&gt;"")))))),#REF!&lt;&gt;""),"Complete Bid","Incomplete Bid")))))</f>
        <v>0</v>
      </c>
    </row>
    <row r="10" customFormat="false" ht="12.75" hidden="false" customHeight="true" outlineLevel="0" collapsed="false">
      <c r="A10" s="2" t="s">
        <v>56</v>
      </c>
      <c r="B10" s="23" t="s">
        <v>101</v>
      </c>
      <c r="C10" s="3" t="s">
        <v>58</v>
      </c>
      <c r="D10" s="3" t="s">
        <v>102</v>
      </c>
      <c r="E10" s="3" t="s">
        <v>60</v>
      </c>
      <c r="F10" s="3" t="s">
        <v>61</v>
      </c>
      <c r="G10" s="3" t="s">
        <v>62</v>
      </c>
      <c r="H10" s="3" t="s">
        <v>58</v>
      </c>
      <c r="I10" s="3" t="s">
        <v>98</v>
      </c>
      <c r="J10" s="3" t="s">
        <v>99</v>
      </c>
      <c r="K10" s="3" t="s">
        <v>58</v>
      </c>
      <c r="L10" s="3" t="s">
        <v>65</v>
      </c>
      <c r="M10" s="3" t="s">
        <v>65</v>
      </c>
      <c r="N10" s="3" t="s">
        <v>80</v>
      </c>
      <c r="O10" s="3" t="s">
        <v>67</v>
      </c>
      <c r="P10" s="3" t="s">
        <v>68</v>
      </c>
      <c r="Q10" s="3"/>
      <c r="R10" s="3" t="s">
        <v>69</v>
      </c>
      <c r="S10" s="3"/>
      <c r="T10" s="3" t="s">
        <v>70</v>
      </c>
      <c r="U10" s="3"/>
      <c r="V10" s="4" t="s">
        <v>103</v>
      </c>
      <c r="W10" s="4" t="s">
        <v>104</v>
      </c>
      <c r="X10" s="4" t="s">
        <v>75</v>
      </c>
      <c r="Y10" s="4" t="s">
        <v>75</v>
      </c>
      <c r="Z10" s="4" t="s">
        <v>74</v>
      </c>
      <c r="AA10" s="4" t="s">
        <v>75</v>
      </c>
      <c r="AB10" s="4" t="n">
        <v>542</v>
      </c>
      <c r="AC10" s="5" t="n">
        <v>99999</v>
      </c>
      <c r="AD10" s="3" t="s">
        <v>100</v>
      </c>
      <c r="AE10" s="6" t="n">
        <v>0.74955925</v>
      </c>
      <c r="AF10" s="5" t="n">
        <v>75</v>
      </c>
      <c r="AG10" s="5" t="n">
        <v>1228</v>
      </c>
      <c r="AH10" s="3" t="s">
        <v>77</v>
      </c>
      <c r="AI10" s="6" t="n">
        <v>7.7922162083</v>
      </c>
      <c r="AJ10" s="7"/>
      <c r="AK10" s="5" t="n">
        <v>99999</v>
      </c>
      <c r="AL10" s="4" t="n">
        <f aca="false">(IF(AC10=99999,0,AC10))+((IF(AF10=99999,0,AF10))/AE10)+AG10+(AJ10/AI10)+(IF(AK10=99999,0,AK10))</f>
        <v>1328.05880122219</v>
      </c>
      <c r="AM10" s="4" t="n">
        <f aca="false">AL10+AB10</f>
        <v>1870.05880122218</v>
      </c>
      <c r="AN10" s="8" t="s">
        <v>99</v>
      </c>
      <c r="AO10" s="8" t="s">
        <v>65</v>
      </c>
      <c r="AP10" s="24" t="e">
        <f aca="false">(IF((F10="Port to Port"),(IF(AND(AC10=99999,OR(AF10="",AF10=99999),AG10="",AJ10="",AK10=99999,#REF!="",#REF!="",#REF!="",#REF!="",#REF!="",#REF!="",AN10&lt;&gt;"",#REF!&lt;&gt;"",#REF!="",#REF!="",AO10&lt;&gt;"",#REF!&lt;&gt;"",#REF!="",#REF!="",#REF!="",#REF!=""),"No Bid",IF(AND(AC10=99999,OR(AF10&lt;&gt;"",AF10=99999),AG10&lt;&gt;"",AJ10&lt;&gt;"",AK10=99999,#REF!&lt;&gt;"",#REF!&lt;&gt;"",#REF!&lt;&gt;"",#REF!&lt;&gt;"",#REF!&lt;&gt;"",#REF!&lt;&gt;"",AN10&lt;&gt;"",#REF!&lt;&gt;"",#REF!="",#REF!="",AO10&lt;&gt;"",#REF!&lt;&gt;"",#REF!="",#REF!="",#REF!&lt;&gt;"",(IF((OR(#REF!="No Trans-Shipments",#REF!="")),(AND(#REF!="",#REF!="")),(IF(#REF!="1 Trans-Shipment",(AND(#REF!&lt;&gt;"",#REF!="")),(AND(#REF!&lt;&gt;"",#REF!&lt;&gt;"")))))),#REF!&lt;&gt;""),"Complete Bid","Incomplete Bid")))))</f>
        <v>#REF!</v>
      </c>
      <c r="AQ10" s="25" t="n">
        <f aca="false">(IF((F10="Door to Port"),(IF(AND(AC10="",AF10="",AG10="",AJ10="",AK10=99999,#REF!="",#REF!="",#REF!="",#REF!="",#REF!="",#REF!="",AN10="",#REF!="",#REF!="",#REF!="",AO10&lt;&gt;"",#REF!&lt;&gt;"",#REF!="",#REF!="",#REF!="",#REF!=""),"No Bid",IF(AND(AC10&lt;&gt;"",AF10&lt;&gt;"",AG10&lt;&gt;"",AJ10&lt;&gt;"",AK10=99999,#REF!&lt;&gt;"",#REF!&lt;&gt;"",#REF!&lt;&gt;"",#REF!&lt;&gt;"",#REF!&lt;&gt;"",#REF!&lt;&gt;"",AN10&lt;&gt;"",#REF!&lt;&gt;"",OR(#REF!="",#REF!&lt;&gt;""),#REF!&lt;&gt;"",AO10&lt;&gt;"",#REF!&lt;&gt;"",#REF!="",#REF!="",#REF!&lt;&gt;"",(IF((OR((#REF!="No Trans-Shipments"),(#REF!=""))),(AND(#REF!="",#REF!="")),(IF(#REF!="1 Trans-Shipment",(AND(#REF!&lt;&gt;"",#REF!="")),(AND(#REF!&lt;&gt;"",#REF!&lt;&gt;"")))))),#REF!&lt;&gt;""),"Complete Bid","Incomplete Bid")))))</f>
        <v>0</v>
      </c>
      <c r="AR10" s="25" t="n">
        <f aca="false">(IF((F10="Port to Door"),(IF(AND(AC10=99999,OR(AF10="",AF10=99999),AG10="",AJ10="",AK10="",#REF!="",#REF!="",#REF!="",#REF!="",#REF!="",#REF!="",AN10&lt;&gt;"",#REF!&lt;&gt;"",#REF!="",#REF!="",AO10="",#REF!="",#REF!="",#REF!="",#REF!="",#REF!=""),"No Bid",IF(AND(AC10=99999,OR(AF10&lt;&gt;"",AF10=99999),AG10&lt;&gt;"",AJ10&lt;&gt;"",AK10&lt;&gt;"",#REF!&lt;&gt;"",#REF!&lt;&gt;"",#REF!&lt;&gt;"",#REF!&lt;&gt;"",#REF!&lt;&gt;"",#REF!&lt;&gt;"",AN10&lt;&gt;"",#REF!&lt;&gt;"",#REF!="",#REF!="",AO10&lt;&gt;"",#REF!&lt;&gt;"",OR(#REF!&lt;&gt;"",#REF!=""),#REF!&lt;&gt;"",#REF!&lt;&gt;"",(IF((OR(#REF!="No Trans-Shipments",#REF!="")),(AND(#REF!="",#REF!="")),(IF(#REF!="1 Trans-Shipment",(AND(#REF!&lt;&gt;"",#REF!="")),(AND(#REF!&lt;&gt;"",#REF!&lt;&gt;"")))))),#REF!&lt;&gt;""),"Complete Bid","Incomplete Bid")))))</f>
        <v>0</v>
      </c>
      <c r="AS10" s="25" t="n">
        <f aca="false">(IF((F10="Door to Door"),(IF(AND(AC10="",AF10="",AG10="",AJ10="",AK10="",#REF!="",#REF!="",#REF!="",#REF!="",#REF!="",#REF!="",AN10="",#REF!="",#REF!="",#REF!="",AO10="",#REF!="",#REF!="",#REF!="",#REF!="",#REF!=""),"No Bid",IF(AND(AC10&lt;&gt;"",AF10&lt;&gt;"",AG10&lt;&gt;"",AJ10&lt;&gt;"",AK10&lt;&gt;"",#REF!&lt;&gt;"",#REF!&lt;&gt;"",#REF!&lt;&gt;"",#REF!&lt;&gt;"",#REF!&lt;&gt;"",#REF!&lt;&gt;"",AN10&lt;&gt;"",#REF!&lt;&gt;"",OR(#REF!&lt;&gt;"",#REF!=""),#REF!&lt;&gt;"",AO10&lt;&gt;"",#REF!&lt;&gt;"",OR(#REF!&lt;&gt;"",#REF!=""),#REF!&lt;&gt;"",#REF!&lt;&gt;"",(IF((OR(#REF!="No Trans-Shipments",#REF!="")),(AND(#REF!="",#REF!="")),(IF(#REF!="1 Trans-Shipment",(AND(#REF!&lt;&gt;"",#REF!="")),(AND(#REF!&lt;&gt;"",#REF!&lt;&gt;"")))))),#REF!&lt;&gt;""),"Complete Bid","Incomplete Bid")))))</f>
        <v>0</v>
      </c>
    </row>
    <row r="11" customFormat="false" ht="12.75" hidden="false" customHeight="true" outlineLevel="0" collapsed="false">
      <c r="A11" s="2" t="s">
        <v>56</v>
      </c>
      <c r="B11" s="23" t="s">
        <v>105</v>
      </c>
      <c r="C11" s="3" t="s">
        <v>58</v>
      </c>
      <c r="D11" s="3" t="s">
        <v>106</v>
      </c>
      <c r="E11" s="3" t="s">
        <v>107</v>
      </c>
      <c r="F11" s="3" t="s">
        <v>61</v>
      </c>
      <c r="G11" s="3" t="s">
        <v>108</v>
      </c>
      <c r="H11" s="3" t="s">
        <v>58</v>
      </c>
      <c r="I11" s="3" t="s">
        <v>109</v>
      </c>
      <c r="J11" s="3" t="s">
        <v>110</v>
      </c>
      <c r="K11" s="3" t="s">
        <v>58</v>
      </c>
      <c r="L11" s="3" t="s">
        <v>86</v>
      </c>
      <c r="M11" s="3" t="s">
        <v>87</v>
      </c>
      <c r="N11" s="3" t="s">
        <v>66</v>
      </c>
      <c r="O11" s="3"/>
      <c r="P11" s="3" t="s">
        <v>68</v>
      </c>
      <c r="Q11" s="3"/>
      <c r="R11" s="3" t="s">
        <v>111</v>
      </c>
      <c r="S11" s="3"/>
      <c r="T11" s="3" t="s">
        <v>89</v>
      </c>
      <c r="U11" s="3"/>
      <c r="V11" s="4" t="s">
        <v>112</v>
      </c>
      <c r="W11" s="4"/>
      <c r="X11" s="4" t="s">
        <v>113</v>
      </c>
      <c r="Y11" s="4" t="s">
        <v>72</v>
      </c>
      <c r="Z11" s="4" t="s">
        <v>72</v>
      </c>
      <c r="AA11" s="4" t="s">
        <v>90</v>
      </c>
      <c r="AB11" s="4" t="n">
        <v>40</v>
      </c>
      <c r="AC11" s="5" t="n">
        <v>99999</v>
      </c>
      <c r="AD11" s="3" t="s">
        <v>114</v>
      </c>
      <c r="AE11" s="6" t="n">
        <v>1.4660412083</v>
      </c>
      <c r="AF11" s="5" t="n">
        <v>76</v>
      </c>
      <c r="AG11" s="5" t="n">
        <v>1229</v>
      </c>
      <c r="AH11" s="3" t="s">
        <v>91</v>
      </c>
      <c r="AI11" s="6" t="n">
        <v>1.3964683333</v>
      </c>
      <c r="AJ11" s="7"/>
      <c r="AK11" s="5" t="n">
        <v>99999</v>
      </c>
      <c r="AL11" s="4" t="n">
        <f aca="false">(IF(AC11=99999,0,AC11))+((IF(AF11=99999,0,AF11))/AE11)+AG11+(AJ11/AI11)+(IF(AK11=99999,0,AK11))</f>
        <v>1280.84028905172</v>
      </c>
      <c r="AM11" s="4" t="n">
        <f aca="false">AL11+AB11</f>
        <v>1320.84028905172</v>
      </c>
      <c r="AN11" s="8" t="s">
        <v>110</v>
      </c>
      <c r="AO11" s="8" t="s">
        <v>87</v>
      </c>
      <c r="AP11" s="24" t="e">
        <f aca="false">(IF((F11="Port to Port"),(IF(AND(AC11=99999,OR(AF11="",AF11=99999),AG11="",AJ11="",AK11=99999,#REF!="",#REF!="",#REF!="",#REF!="",#REF!="",#REF!="",AN11&lt;&gt;"",#REF!&lt;&gt;"",#REF!="",#REF!="",AO11&lt;&gt;"",#REF!&lt;&gt;"",#REF!="",#REF!="",#REF!="",#REF!=""),"No Bid",IF(AND(AC11=99999,OR(AF11&lt;&gt;"",AF11=99999),AG11&lt;&gt;"",AJ11&lt;&gt;"",AK11=99999,#REF!&lt;&gt;"",#REF!&lt;&gt;"",#REF!&lt;&gt;"",#REF!&lt;&gt;"",#REF!&lt;&gt;"",#REF!&lt;&gt;"",AN11&lt;&gt;"",#REF!&lt;&gt;"",#REF!="",#REF!="",AO11&lt;&gt;"",#REF!&lt;&gt;"",#REF!="",#REF!="",#REF!&lt;&gt;"",(IF((OR(#REF!="No Trans-Shipments",#REF!="")),(AND(#REF!="",#REF!="")),(IF(#REF!="1 Trans-Shipment",(AND(#REF!&lt;&gt;"",#REF!="")),(AND(#REF!&lt;&gt;"",#REF!&lt;&gt;"")))))),#REF!&lt;&gt;""),"Complete Bid","Incomplete Bid")))))</f>
        <v>#REF!</v>
      </c>
      <c r="AQ11" s="25" t="n">
        <f aca="false">(IF((F11="Door to Port"),(IF(AND(AC11="",AF11="",AG11="",AJ11="",AK11=99999,#REF!="",#REF!="",#REF!="",#REF!="",#REF!="",#REF!="",AN11="",#REF!="",#REF!="",#REF!="",AO11&lt;&gt;"",#REF!&lt;&gt;"",#REF!="",#REF!="",#REF!="",#REF!=""),"No Bid",IF(AND(AC11&lt;&gt;"",AF11&lt;&gt;"",AG11&lt;&gt;"",AJ11&lt;&gt;"",AK11=99999,#REF!&lt;&gt;"",#REF!&lt;&gt;"",#REF!&lt;&gt;"",#REF!&lt;&gt;"",#REF!&lt;&gt;"",#REF!&lt;&gt;"",AN11&lt;&gt;"",#REF!&lt;&gt;"",OR(#REF!="",#REF!&lt;&gt;""),#REF!&lt;&gt;"",AO11&lt;&gt;"",#REF!&lt;&gt;"",#REF!="",#REF!="",#REF!&lt;&gt;"",(IF((OR((#REF!="No Trans-Shipments"),(#REF!=""))),(AND(#REF!="",#REF!="")),(IF(#REF!="1 Trans-Shipment",(AND(#REF!&lt;&gt;"",#REF!="")),(AND(#REF!&lt;&gt;"",#REF!&lt;&gt;"")))))),#REF!&lt;&gt;""),"Complete Bid","Incomplete Bid")))))</f>
        <v>0</v>
      </c>
      <c r="AR11" s="25" t="n">
        <f aca="false">(IF((F11="Port to Door"),(IF(AND(AC11=99999,OR(AF11="",AF11=99999),AG11="",AJ11="",AK11="",#REF!="",#REF!="",#REF!="",#REF!="",#REF!="",#REF!="",AN11&lt;&gt;"",#REF!&lt;&gt;"",#REF!="",#REF!="",AO11="",#REF!="",#REF!="",#REF!="",#REF!="",#REF!=""),"No Bid",IF(AND(AC11=99999,OR(AF11&lt;&gt;"",AF11=99999),AG11&lt;&gt;"",AJ11&lt;&gt;"",AK11&lt;&gt;"",#REF!&lt;&gt;"",#REF!&lt;&gt;"",#REF!&lt;&gt;"",#REF!&lt;&gt;"",#REF!&lt;&gt;"",#REF!&lt;&gt;"",AN11&lt;&gt;"",#REF!&lt;&gt;"",#REF!="",#REF!="",AO11&lt;&gt;"",#REF!&lt;&gt;"",OR(#REF!&lt;&gt;"",#REF!=""),#REF!&lt;&gt;"",#REF!&lt;&gt;"",(IF((OR(#REF!="No Trans-Shipments",#REF!="")),(AND(#REF!="",#REF!="")),(IF(#REF!="1 Trans-Shipment",(AND(#REF!&lt;&gt;"",#REF!="")),(AND(#REF!&lt;&gt;"",#REF!&lt;&gt;"")))))),#REF!&lt;&gt;""),"Complete Bid","Incomplete Bid")))))</f>
        <v>0</v>
      </c>
      <c r="AS11" s="25" t="n">
        <f aca="false">(IF((F11="Door to Door"),(IF(AND(AC11="",AF11="",AG11="",AJ11="",AK11="",#REF!="",#REF!="",#REF!="",#REF!="",#REF!="",#REF!="",AN11="",#REF!="",#REF!="",#REF!="",AO11="",#REF!="",#REF!="",#REF!="",#REF!="",#REF!=""),"No Bid",IF(AND(AC11&lt;&gt;"",AF11&lt;&gt;"",AG11&lt;&gt;"",AJ11&lt;&gt;"",AK11&lt;&gt;"",#REF!&lt;&gt;"",#REF!&lt;&gt;"",#REF!&lt;&gt;"",#REF!&lt;&gt;"",#REF!&lt;&gt;"",#REF!&lt;&gt;"",AN11&lt;&gt;"",#REF!&lt;&gt;"",OR(#REF!&lt;&gt;"",#REF!=""),#REF!&lt;&gt;"",AO11&lt;&gt;"",#REF!&lt;&gt;"",OR(#REF!&lt;&gt;"",#REF!=""),#REF!&lt;&gt;"",#REF!&lt;&gt;"",(IF((OR(#REF!="No Trans-Shipments",#REF!="")),(AND(#REF!="",#REF!="")),(IF(#REF!="1 Trans-Shipment",(AND(#REF!&lt;&gt;"",#REF!="")),(AND(#REF!&lt;&gt;"",#REF!&lt;&gt;"")))))),#REF!&lt;&gt;""),"Complete Bid","Incomplete Bid")))))</f>
        <v>0</v>
      </c>
    </row>
    <row r="12" customFormat="false" ht="12.75" hidden="false" customHeight="true" outlineLevel="0" collapsed="false">
      <c r="A12" s="2" t="s">
        <v>56</v>
      </c>
      <c r="B12" s="23" t="s">
        <v>115</v>
      </c>
      <c r="C12" s="3" t="s">
        <v>58</v>
      </c>
      <c r="D12" s="3" t="s">
        <v>116</v>
      </c>
      <c r="E12" s="3" t="s">
        <v>107</v>
      </c>
      <c r="F12" s="3" t="s">
        <v>61</v>
      </c>
      <c r="G12" s="3" t="s">
        <v>108</v>
      </c>
      <c r="H12" s="3" t="s">
        <v>58</v>
      </c>
      <c r="I12" s="3" t="s">
        <v>109</v>
      </c>
      <c r="J12" s="3" t="s">
        <v>110</v>
      </c>
      <c r="K12" s="3" t="s">
        <v>58</v>
      </c>
      <c r="L12" s="3" t="s">
        <v>86</v>
      </c>
      <c r="M12" s="3" t="s">
        <v>87</v>
      </c>
      <c r="N12" s="3" t="s">
        <v>80</v>
      </c>
      <c r="O12" s="3"/>
      <c r="P12" s="3" t="s">
        <v>68</v>
      </c>
      <c r="Q12" s="3"/>
      <c r="R12" s="3" t="s">
        <v>111</v>
      </c>
      <c r="S12" s="3"/>
      <c r="T12" s="3" t="s">
        <v>89</v>
      </c>
      <c r="U12" s="3"/>
      <c r="V12" s="4" t="s">
        <v>117</v>
      </c>
      <c r="W12" s="4" t="s">
        <v>95</v>
      </c>
      <c r="X12" s="4" t="s">
        <v>113</v>
      </c>
      <c r="Y12" s="4" t="s">
        <v>72</v>
      </c>
      <c r="Z12" s="4" t="s">
        <v>72</v>
      </c>
      <c r="AA12" s="4" t="s">
        <v>90</v>
      </c>
      <c r="AB12" s="4" t="n">
        <v>80</v>
      </c>
      <c r="AC12" s="5" t="n">
        <v>99999</v>
      </c>
      <c r="AD12" s="3" t="s">
        <v>114</v>
      </c>
      <c r="AE12" s="6" t="n">
        <v>1.4660412083</v>
      </c>
      <c r="AF12" s="5" t="n">
        <v>77</v>
      </c>
      <c r="AG12" s="5" t="n">
        <v>1230</v>
      </c>
      <c r="AH12" s="3" t="s">
        <v>91</v>
      </c>
      <c r="AI12" s="6" t="n">
        <v>1.3964683333</v>
      </c>
      <c r="AJ12" s="7"/>
      <c r="AK12" s="5" t="n">
        <v>99999</v>
      </c>
      <c r="AL12" s="4" t="n">
        <f aca="false">(IF(AC12=99999,0,AC12))+((IF(AF12=99999,0,AF12))/AE12)+AG12+(AJ12/AI12)+(IF(AK12=99999,0,AK12))</f>
        <v>1282.52239811819</v>
      </c>
      <c r="AM12" s="4" t="n">
        <f aca="false">AL12+AB12</f>
        <v>1362.52239811819</v>
      </c>
      <c r="AN12" s="8" t="s">
        <v>110</v>
      </c>
      <c r="AO12" s="8" t="s">
        <v>87</v>
      </c>
      <c r="AP12" s="24" t="e">
        <f aca="false">(IF((F12="Port to Port"),(IF(AND(AC12=99999,OR(AF12="",AF12=99999),AG12="",AJ12="",AK12=99999,#REF!="",#REF!="",#REF!="",#REF!="",#REF!="",#REF!="",AN12&lt;&gt;"",#REF!&lt;&gt;"",#REF!="",#REF!="",AO12&lt;&gt;"",#REF!&lt;&gt;"",#REF!="",#REF!="",#REF!="",#REF!=""),"No Bid",IF(AND(AC12=99999,OR(AF12&lt;&gt;"",AF12=99999),AG12&lt;&gt;"",AJ12&lt;&gt;"",AK12=99999,#REF!&lt;&gt;"",#REF!&lt;&gt;"",#REF!&lt;&gt;"",#REF!&lt;&gt;"",#REF!&lt;&gt;"",#REF!&lt;&gt;"",AN12&lt;&gt;"",#REF!&lt;&gt;"",#REF!="",#REF!="",AO12&lt;&gt;"",#REF!&lt;&gt;"",#REF!="",#REF!="",#REF!&lt;&gt;"",(IF((OR(#REF!="No Trans-Shipments",#REF!="")),(AND(#REF!="",#REF!="")),(IF(#REF!="1 Trans-Shipment",(AND(#REF!&lt;&gt;"",#REF!="")),(AND(#REF!&lt;&gt;"",#REF!&lt;&gt;"")))))),#REF!&lt;&gt;""),"Complete Bid","Incomplete Bid")))))</f>
        <v>#REF!</v>
      </c>
      <c r="AQ12" s="25" t="n">
        <f aca="false">(IF((F12="Door to Port"),(IF(AND(AC12="",AF12="",AG12="",AJ12="",AK12=99999,#REF!="",#REF!="",#REF!="",#REF!="",#REF!="",#REF!="",AN12="",#REF!="",#REF!="",#REF!="",AO12&lt;&gt;"",#REF!&lt;&gt;"",#REF!="",#REF!="",#REF!="",#REF!=""),"No Bid",IF(AND(AC12&lt;&gt;"",AF12&lt;&gt;"",AG12&lt;&gt;"",AJ12&lt;&gt;"",AK12=99999,#REF!&lt;&gt;"",#REF!&lt;&gt;"",#REF!&lt;&gt;"",#REF!&lt;&gt;"",#REF!&lt;&gt;"",#REF!&lt;&gt;"",AN12&lt;&gt;"",#REF!&lt;&gt;"",OR(#REF!="",#REF!&lt;&gt;""),#REF!&lt;&gt;"",AO12&lt;&gt;"",#REF!&lt;&gt;"",#REF!="",#REF!="",#REF!&lt;&gt;"",(IF((OR((#REF!="No Trans-Shipments"),(#REF!=""))),(AND(#REF!="",#REF!="")),(IF(#REF!="1 Trans-Shipment",(AND(#REF!&lt;&gt;"",#REF!="")),(AND(#REF!&lt;&gt;"",#REF!&lt;&gt;"")))))),#REF!&lt;&gt;""),"Complete Bid","Incomplete Bid")))))</f>
        <v>0</v>
      </c>
      <c r="AR12" s="25" t="n">
        <f aca="false">(IF((F12="Port to Door"),(IF(AND(AC12=99999,OR(AF12="",AF12=99999),AG12="",AJ12="",AK12="",#REF!="",#REF!="",#REF!="",#REF!="",#REF!="",#REF!="",AN12&lt;&gt;"",#REF!&lt;&gt;"",#REF!="",#REF!="",AO12="",#REF!="",#REF!="",#REF!="",#REF!="",#REF!=""),"No Bid",IF(AND(AC12=99999,OR(AF12&lt;&gt;"",AF12=99999),AG12&lt;&gt;"",AJ12&lt;&gt;"",AK12&lt;&gt;"",#REF!&lt;&gt;"",#REF!&lt;&gt;"",#REF!&lt;&gt;"",#REF!&lt;&gt;"",#REF!&lt;&gt;"",#REF!&lt;&gt;"",AN12&lt;&gt;"",#REF!&lt;&gt;"",#REF!="",#REF!="",AO12&lt;&gt;"",#REF!&lt;&gt;"",OR(#REF!&lt;&gt;"",#REF!=""),#REF!&lt;&gt;"",#REF!&lt;&gt;"",(IF((OR(#REF!="No Trans-Shipments",#REF!="")),(AND(#REF!="",#REF!="")),(IF(#REF!="1 Trans-Shipment",(AND(#REF!&lt;&gt;"",#REF!="")),(AND(#REF!&lt;&gt;"",#REF!&lt;&gt;"")))))),#REF!&lt;&gt;""),"Complete Bid","Incomplete Bid")))))</f>
        <v>0</v>
      </c>
      <c r="AS12" s="25" t="n">
        <f aca="false">(IF((F12="Door to Door"),(IF(AND(AC12="",AF12="",AG12="",AJ12="",AK12="",#REF!="",#REF!="",#REF!="",#REF!="",#REF!="",#REF!="",AN12="",#REF!="",#REF!="",#REF!="",AO12="",#REF!="",#REF!="",#REF!="",#REF!="",#REF!=""),"No Bid",IF(AND(AC12&lt;&gt;"",AF12&lt;&gt;"",AG12&lt;&gt;"",AJ12&lt;&gt;"",AK12&lt;&gt;"",#REF!&lt;&gt;"",#REF!&lt;&gt;"",#REF!&lt;&gt;"",#REF!&lt;&gt;"",#REF!&lt;&gt;"",#REF!&lt;&gt;"",AN12&lt;&gt;"",#REF!&lt;&gt;"",OR(#REF!&lt;&gt;"",#REF!=""),#REF!&lt;&gt;"",AO12&lt;&gt;"",#REF!&lt;&gt;"",OR(#REF!&lt;&gt;"",#REF!=""),#REF!&lt;&gt;"",#REF!&lt;&gt;"",(IF((OR(#REF!="No Trans-Shipments",#REF!="")),(AND(#REF!="",#REF!="")),(IF(#REF!="1 Trans-Shipment",(AND(#REF!&lt;&gt;"",#REF!="")),(AND(#REF!&lt;&gt;"",#REF!&lt;&gt;"")))))),#REF!&lt;&gt;""),"Complete Bid","Incomplete Bid")))))</f>
        <v>0</v>
      </c>
    </row>
    <row r="13" customFormat="false" ht="12.75" hidden="false" customHeight="true" outlineLevel="0" collapsed="false">
      <c r="A13" s="2" t="s">
        <v>56</v>
      </c>
      <c r="B13" s="23" t="s">
        <v>118</v>
      </c>
      <c r="C13" s="3" t="s">
        <v>58</v>
      </c>
      <c r="D13" s="3" t="s">
        <v>119</v>
      </c>
      <c r="E13" s="3" t="s">
        <v>120</v>
      </c>
      <c r="F13" s="3" t="s">
        <v>61</v>
      </c>
      <c r="G13" s="3" t="s">
        <v>62</v>
      </c>
      <c r="H13" s="3" t="s">
        <v>58</v>
      </c>
      <c r="I13" s="3" t="s">
        <v>121</v>
      </c>
      <c r="J13" s="3" t="s">
        <v>122</v>
      </c>
      <c r="K13" s="3" t="s">
        <v>58</v>
      </c>
      <c r="L13" s="3" t="s">
        <v>123</v>
      </c>
      <c r="M13" s="3" t="s">
        <v>124</v>
      </c>
      <c r="N13" s="3" t="s">
        <v>66</v>
      </c>
      <c r="O13" s="3"/>
      <c r="P13" s="3" t="s">
        <v>68</v>
      </c>
      <c r="Q13" s="3"/>
      <c r="R13" s="3" t="s">
        <v>125</v>
      </c>
      <c r="S13" s="3"/>
      <c r="T13" s="3" t="s">
        <v>126</v>
      </c>
      <c r="U13" s="3"/>
      <c r="V13" s="4" t="s">
        <v>103</v>
      </c>
      <c r="W13" s="4"/>
      <c r="X13" s="4" t="s">
        <v>75</v>
      </c>
      <c r="Y13" s="4" t="s">
        <v>75</v>
      </c>
      <c r="Z13" s="4" t="s">
        <v>74</v>
      </c>
      <c r="AA13" s="4" t="s">
        <v>75</v>
      </c>
      <c r="AB13" s="4" t="n">
        <v>40</v>
      </c>
      <c r="AC13" s="5" t="n">
        <v>99999</v>
      </c>
      <c r="AD13" s="3" t="s">
        <v>127</v>
      </c>
      <c r="AE13" s="6" t="n">
        <v>33.7258754167</v>
      </c>
      <c r="AF13" s="5" t="n">
        <v>78</v>
      </c>
      <c r="AG13" s="5" t="n">
        <v>1231</v>
      </c>
      <c r="AH13" s="3" t="s">
        <v>128</v>
      </c>
      <c r="AI13" s="6" t="n">
        <v>1177.1217125</v>
      </c>
      <c r="AJ13" s="7"/>
      <c r="AK13" s="5" t="n">
        <v>99999</v>
      </c>
      <c r="AL13" s="4" t="n">
        <f aca="false">(IF(AC13=99999,0,AC13))+((IF(AF13=99999,0,AF13))/AE13)+AG13+(AJ13/AI13)+(IF(AK13=99999,0,AK13))</f>
        <v>1233.31276428073</v>
      </c>
      <c r="AM13" s="4" t="n">
        <f aca="false">AL13+AB13</f>
        <v>1273.31276428073</v>
      </c>
      <c r="AN13" s="8" t="s">
        <v>122</v>
      </c>
      <c r="AO13" s="8" t="s">
        <v>124</v>
      </c>
      <c r="AP13" s="24" t="e">
        <f aca="false">(IF((F13="Port to Port"),(IF(AND(AC13=99999,OR(AF13="",AF13=99999),AG13="",AJ13="",AK13=99999,#REF!="",#REF!="",#REF!="",#REF!="",#REF!="",#REF!="",AN13&lt;&gt;"",#REF!&lt;&gt;"",#REF!="",#REF!="",AO13&lt;&gt;"",#REF!&lt;&gt;"",#REF!="",#REF!="",#REF!="",#REF!=""),"No Bid",IF(AND(AC13=99999,OR(AF13&lt;&gt;"",AF13=99999),AG13&lt;&gt;"",AJ13&lt;&gt;"",AK13=99999,#REF!&lt;&gt;"",#REF!&lt;&gt;"",#REF!&lt;&gt;"",#REF!&lt;&gt;"",#REF!&lt;&gt;"",#REF!&lt;&gt;"",AN13&lt;&gt;"",#REF!&lt;&gt;"",#REF!="",#REF!="",AO13&lt;&gt;"",#REF!&lt;&gt;"",#REF!="",#REF!="",#REF!&lt;&gt;"",(IF((OR(#REF!="No Trans-Shipments",#REF!="")),(AND(#REF!="",#REF!="")),(IF(#REF!="1 Trans-Shipment",(AND(#REF!&lt;&gt;"",#REF!="")),(AND(#REF!&lt;&gt;"",#REF!&lt;&gt;"")))))),#REF!&lt;&gt;""),"Complete Bid","Incomplete Bid")))))</f>
        <v>#REF!</v>
      </c>
      <c r="AQ13" s="25" t="n">
        <f aca="false">(IF((F13="Door to Port"),(IF(AND(AC13="",AF13="",AG13="",AJ13="",AK13=99999,#REF!="",#REF!="",#REF!="",#REF!="",#REF!="",#REF!="",AN13="",#REF!="",#REF!="",#REF!="",AO13&lt;&gt;"",#REF!&lt;&gt;"",#REF!="",#REF!="",#REF!="",#REF!=""),"No Bid",IF(AND(AC13&lt;&gt;"",AF13&lt;&gt;"",AG13&lt;&gt;"",AJ13&lt;&gt;"",AK13=99999,#REF!&lt;&gt;"",#REF!&lt;&gt;"",#REF!&lt;&gt;"",#REF!&lt;&gt;"",#REF!&lt;&gt;"",#REF!&lt;&gt;"",AN13&lt;&gt;"",#REF!&lt;&gt;"",OR(#REF!="",#REF!&lt;&gt;""),#REF!&lt;&gt;"",AO13&lt;&gt;"",#REF!&lt;&gt;"",#REF!="",#REF!="",#REF!&lt;&gt;"",(IF((OR((#REF!="No Trans-Shipments"),(#REF!=""))),(AND(#REF!="",#REF!="")),(IF(#REF!="1 Trans-Shipment",(AND(#REF!&lt;&gt;"",#REF!="")),(AND(#REF!&lt;&gt;"",#REF!&lt;&gt;"")))))),#REF!&lt;&gt;""),"Complete Bid","Incomplete Bid")))))</f>
        <v>0</v>
      </c>
      <c r="AR13" s="25" t="n">
        <f aca="false">(IF((F13="Port to Door"),(IF(AND(AC13=99999,OR(AF13="",AF13=99999),AG13="",AJ13="",AK13="",#REF!="",#REF!="",#REF!="",#REF!="",#REF!="",#REF!="",AN13&lt;&gt;"",#REF!&lt;&gt;"",#REF!="",#REF!="",AO13="",#REF!="",#REF!="",#REF!="",#REF!="",#REF!=""),"No Bid",IF(AND(AC13=99999,OR(AF13&lt;&gt;"",AF13=99999),AG13&lt;&gt;"",AJ13&lt;&gt;"",AK13&lt;&gt;"",#REF!&lt;&gt;"",#REF!&lt;&gt;"",#REF!&lt;&gt;"",#REF!&lt;&gt;"",#REF!&lt;&gt;"",#REF!&lt;&gt;"",AN13&lt;&gt;"",#REF!&lt;&gt;"",#REF!="",#REF!="",AO13&lt;&gt;"",#REF!&lt;&gt;"",OR(#REF!&lt;&gt;"",#REF!=""),#REF!&lt;&gt;"",#REF!&lt;&gt;"",(IF((OR(#REF!="No Trans-Shipments",#REF!="")),(AND(#REF!="",#REF!="")),(IF(#REF!="1 Trans-Shipment",(AND(#REF!&lt;&gt;"",#REF!="")),(AND(#REF!&lt;&gt;"",#REF!&lt;&gt;"")))))),#REF!&lt;&gt;""),"Complete Bid","Incomplete Bid")))))</f>
        <v>0</v>
      </c>
      <c r="AS13" s="25" t="n">
        <f aca="false">(IF((F13="Door to Door"),(IF(AND(AC13="",AF13="",AG13="",AJ13="",AK13="",#REF!="",#REF!="",#REF!="",#REF!="",#REF!="",#REF!="",AN13="",#REF!="",#REF!="",#REF!="",AO13="",#REF!="",#REF!="",#REF!="",#REF!="",#REF!=""),"No Bid",IF(AND(AC13&lt;&gt;"",AF13&lt;&gt;"",AG13&lt;&gt;"",AJ13&lt;&gt;"",AK13&lt;&gt;"",#REF!&lt;&gt;"",#REF!&lt;&gt;"",#REF!&lt;&gt;"",#REF!&lt;&gt;"",#REF!&lt;&gt;"",#REF!&lt;&gt;"",AN13&lt;&gt;"",#REF!&lt;&gt;"",OR(#REF!&lt;&gt;"",#REF!=""),#REF!&lt;&gt;"",AO13&lt;&gt;"",#REF!&lt;&gt;"",OR(#REF!&lt;&gt;"",#REF!=""),#REF!&lt;&gt;"",#REF!&lt;&gt;"",(IF((OR(#REF!="No Trans-Shipments",#REF!="")),(AND(#REF!="",#REF!="")),(IF(#REF!="1 Trans-Shipment",(AND(#REF!&lt;&gt;"",#REF!="")),(AND(#REF!&lt;&gt;"",#REF!&lt;&gt;"")))))),#REF!&lt;&gt;""),"Complete Bid","Incomplete Bid")))))</f>
        <v>0</v>
      </c>
    </row>
    <row r="14" customFormat="false" ht="12.75" hidden="false" customHeight="true" outlineLevel="0" collapsed="false">
      <c r="A14" s="2" t="s">
        <v>56</v>
      </c>
      <c r="B14" s="23" t="s">
        <v>129</v>
      </c>
      <c r="C14" s="3" t="s">
        <v>58</v>
      </c>
      <c r="D14" s="3" t="s">
        <v>130</v>
      </c>
      <c r="E14" s="3" t="s">
        <v>120</v>
      </c>
      <c r="F14" s="3" t="s">
        <v>61</v>
      </c>
      <c r="G14" s="3" t="s">
        <v>62</v>
      </c>
      <c r="H14" s="3" t="s">
        <v>58</v>
      </c>
      <c r="I14" s="3" t="s">
        <v>121</v>
      </c>
      <c r="J14" s="3" t="s">
        <v>122</v>
      </c>
      <c r="K14" s="3" t="s">
        <v>58</v>
      </c>
      <c r="L14" s="3" t="s">
        <v>123</v>
      </c>
      <c r="M14" s="3" t="s">
        <v>124</v>
      </c>
      <c r="N14" s="3" t="s">
        <v>80</v>
      </c>
      <c r="O14" s="3"/>
      <c r="P14" s="3" t="s">
        <v>68</v>
      </c>
      <c r="Q14" s="3"/>
      <c r="R14" s="3" t="s">
        <v>125</v>
      </c>
      <c r="S14" s="3"/>
      <c r="T14" s="3" t="s">
        <v>126</v>
      </c>
      <c r="U14" s="3"/>
      <c r="V14" s="4" t="s">
        <v>103</v>
      </c>
      <c r="W14" s="4" t="s">
        <v>104</v>
      </c>
      <c r="X14" s="4" t="s">
        <v>75</v>
      </c>
      <c r="Y14" s="4" t="s">
        <v>75</v>
      </c>
      <c r="Z14" s="4" t="s">
        <v>74</v>
      </c>
      <c r="AA14" s="4" t="s">
        <v>75</v>
      </c>
      <c r="AB14" s="4" t="n">
        <v>80</v>
      </c>
      <c r="AC14" s="5" t="n">
        <v>99999</v>
      </c>
      <c r="AD14" s="3" t="s">
        <v>127</v>
      </c>
      <c r="AE14" s="6" t="n">
        <v>33.7258754167</v>
      </c>
      <c r="AF14" s="5" t="n">
        <v>79</v>
      </c>
      <c r="AG14" s="5" t="n">
        <v>1232</v>
      </c>
      <c r="AH14" s="3" t="s">
        <v>128</v>
      </c>
      <c r="AI14" s="6" t="n">
        <v>1177.1217125</v>
      </c>
      <c r="AJ14" s="7"/>
      <c r="AK14" s="5" t="n">
        <v>99999</v>
      </c>
      <c r="AL14" s="4" t="n">
        <f aca="false">(IF(AC14=99999,0,AC14))+((IF(AF14=99999,0,AF14))/AE14)+AG14+(AJ14/AI14)+(IF(AK14=99999,0,AK14))</f>
        <v>1234.34241510484</v>
      </c>
      <c r="AM14" s="4" t="n">
        <f aca="false">AL14+AB14</f>
        <v>1314.34241510484</v>
      </c>
      <c r="AN14" s="8" t="s">
        <v>122</v>
      </c>
      <c r="AO14" s="8" t="s">
        <v>124</v>
      </c>
      <c r="AP14" s="24" t="e">
        <f aca="false">(IF((F14="Port to Port"),(IF(AND(AC14=99999,OR(AF14="",AF14=99999),AG14="",AJ14="",AK14=99999,#REF!="",#REF!="",#REF!="",#REF!="",#REF!="",#REF!="",AN14&lt;&gt;"",#REF!&lt;&gt;"",#REF!="",#REF!="",AO14&lt;&gt;"",#REF!&lt;&gt;"",#REF!="",#REF!="",#REF!="",#REF!=""),"No Bid",IF(AND(AC14=99999,OR(AF14&lt;&gt;"",AF14=99999),AG14&lt;&gt;"",AJ14&lt;&gt;"",AK14=99999,#REF!&lt;&gt;"",#REF!&lt;&gt;"",#REF!&lt;&gt;"",#REF!&lt;&gt;"",#REF!&lt;&gt;"",#REF!&lt;&gt;"",AN14&lt;&gt;"",#REF!&lt;&gt;"",#REF!="",#REF!="",AO14&lt;&gt;"",#REF!&lt;&gt;"",#REF!="",#REF!="",#REF!&lt;&gt;"",(IF((OR(#REF!="No Trans-Shipments",#REF!="")),(AND(#REF!="",#REF!="")),(IF(#REF!="1 Trans-Shipment",(AND(#REF!&lt;&gt;"",#REF!="")),(AND(#REF!&lt;&gt;"",#REF!&lt;&gt;"")))))),#REF!&lt;&gt;""),"Complete Bid","Incomplete Bid")))))</f>
        <v>#REF!</v>
      </c>
      <c r="AQ14" s="25" t="n">
        <f aca="false">(IF((F14="Door to Port"),(IF(AND(AC14="",AF14="",AG14="",AJ14="",AK14=99999,#REF!="",#REF!="",#REF!="",#REF!="",#REF!="",#REF!="",AN14="",#REF!="",#REF!="",#REF!="",AO14&lt;&gt;"",#REF!&lt;&gt;"",#REF!="",#REF!="",#REF!="",#REF!=""),"No Bid",IF(AND(AC14&lt;&gt;"",AF14&lt;&gt;"",AG14&lt;&gt;"",AJ14&lt;&gt;"",AK14=99999,#REF!&lt;&gt;"",#REF!&lt;&gt;"",#REF!&lt;&gt;"",#REF!&lt;&gt;"",#REF!&lt;&gt;"",#REF!&lt;&gt;"",AN14&lt;&gt;"",#REF!&lt;&gt;"",OR(#REF!="",#REF!&lt;&gt;""),#REF!&lt;&gt;"",AO14&lt;&gt;"",#REF!&lt;&gt;"",#REF!="",#REF!="",#REF!&lt;&gt;"",(IF((OR((#REF!="No Trans-Shipments"),(#REF!=""))),(AND(#REF!="",#REF!="")),(IF(#REF!="1 Trans-Shipment",(AND(#REF!&lt;&gt;"",#REF!="")),(AND(#REF!&lt;&gt;"",#REF!&lt;&gt;"")))))),#REF!&lt;&gt;""),"Complete Bid","Incomplete Bid")))))</f>
        <v>0</v>
      </c>
      <c r="AR14" s="25" t="n">
        <f aca="false">(IF((F14="Port to Door"),(IF(AND(AC14=99999,OR(AF14="",AF14=99999),AG14="",AJ14="",AK14="",#REF!="",#REF!="",#REF!="",#REF!="",#REF!="",#REF!="",AN14&lt;&gt;"",#REF!&lt;&gt;"",#REF!="",#REF!="",AO14="",#REF!="",#REF!="",#REF!="",#REF!="",#REF!=""),"No Bid",IF(AND(AC14=99999,OR(AF14&lt;&gt;"",AF14=99999),AG14&lt;&gt;"",AJ14&lt;&gt;"",AK14&lt;&gt;"",#REF!&lt;&gt;"",#REF!&lt;&gt;"",#REF!&lt;&gt;"",#REF!&lt;&gt;"",#REF!&lt;&gt;"",#REF!&lt;&gt;"",AN14&lt;&gt;"",#REF!&lt;&gt;"",#REF!="",#REF!="",AO14&lt;&gt;"",#REF!&lt;&gt;"",OR(#REF!&lt;&gt;"",#REF!=""),#REF!&lt;&gt;"",#REF!&lt;&gt;"",(IF((OR(#REF!="No Trans-Shipments",#REF!="")),(AND(#REF!="",#REF!="")),(IF(#REF!="1 Trans-Shipment",(AND(#REF!&lt;&gt;"",#REF!="")),(AND(#REF!&lt;&gt;"",#REF!&lt;&gt;"")))))),#REF!&lt;&gt;""),"Complete Bid","Incomplete Bid")))))</f>
        <v>0</v>
      </c>
      <c r="AS14" s="25" t="n">
        <f aca="false">(IF((F14="Door to Door"),(IF(AND(AC14="",AF14="",AG14="",AJ14="",AK14="",#REF!="",#REF!="",#REF!="",#REF!="",#REF!="",#REF!="",AN14="",#REF!="",#REF!="",#REF!="",AO14="",#REF!="",#REF!="",#REF!="",#REF!="",#REF!=""),"No Bid",IF(AND(AC14&lt;&gt;"",AF14&lt;&gt;"",AG14&lt;&gt;"",AJ14&lt;&gt;"",AK14&lt;&gt;"",#REF!&lt;&gt;"",#REF!&lt;&gt;"",#REF!&lt;&gt;"",#REF!&lt;&gt;"",#REF!&lt;&gt;"",#REF!&lt;&gt;"",AN14&lt;&gt;"",#REF!&lt;&gt;"",OR(#REF!&lt;&gt;"",#REF!=""),#REF!&lt;&gt;"",AO14&lt;&gt;"",#REF!&lt;&gt;"",OR(#REF!&lt;&gt;"",#REF!=""),#REF!&lt;&gt;"",#REF!&lt;&gt;"",(IF((OR(#REF!="No Trans-Shipments",#REF!="")),(AND(#REF!="",#REF!="")),(IF(#REF!="1 Trans-Shipment",(AND(#REF!&lt;&gt;"",#REF!="")),(AND(#REF!&lt;&gt;"",#REF!&lt;&gt;"")))))),#REF!&lt;&gt;""),"Complete Bid","Incomplete Bid")))))</f>
        <v>0</v>
      </c>
    </row>
    <row r="15" customFormat="false" ht="12.75" hidden="false" customHeight="true" outlineLevel="0" collapsed="false">
      <c r="A15" s="2" t="s">
        <v>56</v>
      </c>
      <c r="B15" s="23" t="s">
        <v>131</v>
      </c>
      <c r="C15" s="3" t="s">
        <v>58</v>
      </c>
      <c r="D15" s="3" t="s">
        <v>132</v>
      </c>
      <c r="E15" s="3" t="s">
        <v>133</v>
      </c>
      <c r="F15" s="3" t="s">
        <v>61</v>
      </c>
      <c r="G15" s="3" t="s">
        <v>62</v>
      </c>
      <c r="H15" s="3" t="s">
        <v>58</v>
      </c>
      <c r="I15" s="3" t="s">
        <v>134</v>
      </c>
      <c r="J15" s="3" t="s">
        <v>135</v>
      </c>
      <c r="K15" s="3" t="s">
        <v>58</v>
      </c>
      <c r="L15" s="3" t="s">
        <v>65</v>
      </c>
      <c r="M15" s="3" t="s">
        <v>65</v>
      </c>
      <c r="N15" s="3" t="s">
        <v>66</v>
      </c>
      <c r="O15" s="3" t="s">
        <v>67</v>
      </c>
      <c r="P15" s="3" t="s">
        <v>68</v>
      </c>
      <c r="Q15" s="3"/>
      <c r="R15" s="3" t="s">
        <v>136</v>
      </c>
      <c r="S15" s="3"/>
      <c r="T15" s="3" t="s">
        <v>70</v>
      </c>
      <c r="U15" s="3"/>
      <c r="V15" s="4" t="s">
        <v>137</v>
      </c>
      <c r="W15" s="4"/>
      <c r="X15" s="4" t="s">
        <v>74</v>
      </c>
      <c r="Y15" s="4" t="s">
        <v>74</v>
      </c>
      <c r="Z15" s="4" t="s">
        <v>74</v>
      </c>
      <c r="AA15" s="4" t="s">
        <v>75</v>
      </c>
      <c r="AB15" s="4" t="n">
        <v>271</v>
      </c>
      <c r="AC15" s="5" t="n">
        <v>99999</v>
      </c>
      <c r="AD15" s="3" t="s">
        <v>138</v>
      </c>
      <c r="AE15" s="6" t="n">
        <v>4038.73485</v>
      </c>
      <c r="AF15" s="5" t="n">
        <v>80</v>
      </c>
      <c r="AG15" s="5" t="n">
        <v>1233</v>
      </c>
      <c r="AH15" s="3" t="s">
        <v>77</v>
      </c>
      <c r="AI15" s="6" t="n">
        <v>7.7922162083</v>
      </c>
      <c r="AJ15" s="7"/>
      <c r="AK15" s="5" t="n">
        <v>99999</v>
      </c>
      <c r="AL15" s="4" t="n">
        <f aca="false">(IF(AC15=99999,0,AC15))+((IF(AF15=99999,0,AF15))/AE15)+AG15+(AJ15/AI15)+(IF(AK15=99999,0,AK15))</f>
        <v>1233.01980818325</v>
      </c>
      <c r="AM15" s="4" t="n">
        <f aca="false">AL15+AB15</f>
        <v>1504.01980818325</v>
      </c>
      <c r="AN15" s="8" t="s">
        <v>135</v>
      </c>
      <c r="AO15" s="8" t="s">
        <v>65</v>
      </c>
      <c r="AP15" s="24" t="e">
        <f aca="false">(IF((F15="Port to Port"),(IF(AND(AC15=99999,OR(AF15="",AF15=99999),AG15="",AJ15="",AK15=99999,#REF!="",#REF!="",#REF!="",#REF!="",#REF!="",#REF!="",AN15&lt;&gt;"",#REF!&lt;&gt;"",#REF!="",#REF!="",AO15&lt;&gt;"",#REF!&lt;&gt;"",#REF!="",#REF!="",#REF!="",#REF!=""),"No Bid",IF(AND(AC15=99999,OR(AF15&lt;&gt;"",AF15=99999),AG15&lt;&gt;"",AJ15&lt;&gt;"",AK15=99999,#REF!&lt;&gt;"",#REF!&lt;&gt;"",#REF!&lt;&gt;"",#REF!&lt;&gt;"",#REF!&lt;&gt;"",#REF!&lt;&gt;"",AN15&lt;&gt;"",#REF!&lt;&gt;"",#REF!="",#REF!="",AO15&lt;&gt;"",#REF!&lt;&gt;"",#REF!="",#REF!="",#REF!&lt;&gt;"",(IF((OR(#REF!="No Trans-Shipments",#REF!="")),(AND(#REF!="",#REF!="")),(IF(#REF!="1 Trans-Shipment",(AND(#REF!&lt;&gt;"",#REF!="")),(AND(#REF!&lt;&gt;"",#REF!&lt;&gt;"")))))),#REF!&lt;&gt;""),"Complete Bid","Incomplete Bid")))))</f>
        <v>#REF!</v>
      </c>
      <c r="AQ15" s="25" t="n">
        <f aca="false">(IF((F15="Door to Port"),(IF(AND(AC15="",AF15="",AG15="",AJ15="",AK15=99999,#REF!="",#REF!="",#REF!="",#REF!="",#REF!="",#REF!="",AN15="",#REF!="",#REF!="",#REF!="",AO15&lt;&gt;"",#REF!&lt;&gt;"",#REF!="",#REF!="",#REF!="",#REF!=""),"No Bid",IF(AND(AC15&lt;&gt;"",AF15&lt;&gt;"",AG15&lt;&gt;"",AJ15&lt;&gt;"",AK15=99999,#REF!&lt;&gt;"",#REF!&lt;&gt;"",#REF!&lt;&gt;"",#REF!&lt;&gt;"",#REF!&lt;&gt;"",#REF!&lt;&gt;"",AN15&lt;&gt;"",#REF!&lt;&gt;"",OR(#REF!="",#REF!&lt;&gt;""),#REF!&lt;&gt;"",AO15&lt;&gt;"",#REF!&lt;&gt;"",#REF!="",#REF!="",#REF!&lt;&gt;"",(IF((OR((#REF!="No Trans-Shipments"),(#REF!=""))),(AND(#REF!="",#REF!="")),(IF(#REF!="1 Trans-Shipment",(AND(#REF!&lt;&gt;"",#REF!="")),(AND(#REF!&lt;&gt;"",#REF!&lt;&gt;"")))))),#REF!&lt;&gt;""),"Complete Bid","Incomplete Bid")))))</f>
        <v>0</v>
      </c>
      <c r="AR15" s="25" t="n">
        <f aca="false">(IF((F15="Port to Door"),(IF(AND(AC15=99999,OR(AF15="",AF15=99999),AG15="",AJ15="",AK15="",#REF!="",#REF!="",#REF!="",#REF!="",#REF!="",#REF!="",AN15&lt;&gt;"",#REF!&lt;&gt;"",#REF!="",#REF!="",AO15="",#REF!="",#REF!="",#REF!="",#REF!="",#REF!=""),"No Bid",IF(AND(AC15=99999,OR(AF15&lt;&gt;"",AF15=99999),AG15&lt;&gt;"",AJ15&lt;&gt;"",AK15&lt;&gt;"",#REF!&lt;&gt;"",#REF!&lt;&gt;"",#REF!&lt;&gt;"",#REF!&lt;&gt;"",#REF!&lt;&gt;"",#REF!&lt;&gt;"",AN15&lt;&gt;"",#REF!&lt;&gt;"",#REF!="",#REF!="",AO15&lt;&gt;"",#REF!&lt;&gt;"",OR(#REF!&lt;&gt;"",#REF!=""),#REF!&lt;&gt;"",#REF!&lt;&gt;"",(IF((OR(#REF!="No Trans-Shipments",#REF!="")),(AND(#REF!="",#REF!="")),(IF(#REF!="1 Trans-Shipment",(AND(#REF!&lt;&gt;"",#REF!="")),(AND(#REF!&lt;&gt;"",#REF!&lt;&gt;"")))))),#REF!&lt;&gt;""),"Complete Bid","Incomplete Bid")))))</f>
        <v>0</v>
      </c>
      <c r="AS15" s="25" t="n">
        <f aca="false">(IF((F15="Door to Door"),(IF(AND(AC15="",AF15="",AG15="",AJ15="",AK15="",#REF!="",#REF!="",#REF!="",#REF!="",#REF!="",#REF!="",AN15="",#REF!="",#REF!="",#REF!="",AO15="",#REF!="",#REF!="",#REF!="",#REF!="",#REF!=""),"No Bid",IF(AND(AC15&lt;&gt;"",AF15&lt;&gt;"",AG15&lt;&gt;"",AJ15&lt;&gt;"",AK15&lt;&gt;"",#REF!&lt;&gt;"",#REF!&lt;&gt;"",#REF!&lt;&gt;"",#REF!&lt;&gt;"",#REF!&lt;&gt;"",#REF!&lt;&gt;"",AN15&lt;&gt;"",#REF!&lt;&gt;"",OR(#REF!&lt;&gt;"",#REF!=""),#REF!&lt;&gt;"",AO15&lt;&gt;"",#REF!&lt;&gt;"",OR(#REF!&lt;&gt;"",#REF!=""),#REF!&lt;&gt;"",#REF!&lt;&gt;"",(IF((OR(#REF!="No Trans-Shipments",#REF!="")),(AND(#REF!="",#REF!="")),(IF(#REF!="1 Trans-Shipment",(AND(#REF!&lt;&gt;"",#REF!="")),(AND(#REF!&lt;&gt;"",#REF!&lt;&gt;"")))))),#REF!&lt;&gt;""),"Complete Bid","Incomplete Bid")))))</f>
        <v>0</v>
      </c>
    </row>
    <row r="16" customFormat="false" ht="12.75" hidden="false" customHeight="true" outlineLevel="0" collapsed="false">
      <c r="A16" s="2" t="s">
        <v>56</v>
      </c>
      <c r="B16" s="23" t="s">
        <v>139</v>
      </c>
      <c r="C16" s="3" t="s">
        <v>58</v>
      </c>
      <c r="D16" s="3" t="s">
        <v>140</v>
      </c>
      <c r="E16" s="3" t="s">
        <v>133</v>
      </c>
      <c r="F16" s="3" t="s">
        <v>61</v>
      </c>
      <c r="G16" s="3" t="s">
        <v>62</v>
      </c>
      <c r="H16" s="3" t="s">
        <v>58</v>
      </c>
      <c r="I16" s="3" t="s">
        <v>134</v>
      </c>
      <c r="J16" s="3" t="s">
        <v>135</v>
      </c>
      <c r="K16" s="3" t="s">
        <v>58</v>
      </c>
      <c r="L16" s="3" t="s">
        <v>65</v>
      </c>
      <c r="M16" s="3" t="s">
        <v>65</v>
      </c>
      <c r="N16" s="3" t="s">
        <v>80</v>
      </c>
      <c r="O16" s="3" t="s">
        <v>67</v>
      </c>
      <c r="P16" s="3" t="s">
        <v>68</v>
      </c>
      <c r="Q16" s="3"/>
      <c r="R16" s="3" t="s">
        <v>136</v>
      </c>
      <c r="S16" s="3"/>
      <c r="T16" s="3" t="s">
        <v>70</v>
      </c>
      <c r="U16" s="3"/>
      <c r="V16" s="4" t="s">
        <v>141</v>
      </c>
      <c r="W16" s="4" t="s">
        <v>142</v>
      </c>
      <c r="X16" s="4" t="s">
        <v>74</v>
      </c>
      <c r="Y16" s="4" t="s">
        <v>74</v>
      </c>
      <c r="Z16" s="4" t="s">
        <v>74</v>
      </c>
      <c r="AA16" s="4" t="s">
        <v>75</v>
      </c>
      <c r="AB16" s="4" t="n">
        <v>542</v>
      </c>
      <c r="AC16" s="5" t="n">
        <v>99999</v>
      </c>
      <c r="AD16" s="3" t="s">
        <v>138</v>
      </c>
      <c r="AE16" s="6" t="n">
        <v>4038.73485</v>
      </c>
      <c r="AF16" s="5" t="n">
        <v>81</v>
      </c>
      <c r="AG16" s="5" t="n">
        <v>1234</v>
      </c>
      <c r="AH16" s="3" t="s">
        <v>77</v>
      </c>
      <c r="AI16" s="6" t="n">
        <v>7.7922162083</v>
      </c>
      <c r="AJ16" s="7"/>
      <c r="AK16" s="5" t="n">
        <v>99999</v>
      </c>
      <c r="AL16" s="4" t="n">
        <f aca="false">(IF(AC16=99999,0,AC16))+((IF(AF16=99999,0,AF16))/AE16)+AG16+(AJ16/AI16)+(IF(AK16=99999,0,AK16))</f>
        <v>1234.02005578554</v>
      </c>
      <c r="AM16" s="4" t="n">
        <f aca="false">AL16+AB16</f>
        <v>1776.02005578554</v>
      </c>
      <c r="AN16" s="8" t="s">
        <v>135</v>
      </c>
      <c r="AO16" s="8" t="s">
        <v>65</v>
      </c>
      <c r="AP16" s="24" t="e">
        <f aca="false">(IF((F16="Port to Port"),(IF(AND(AC16=99999,OR(AF16="",AF16=99999),AG16="",AJ16="",AK16=99999,#REF!="",#REF!="",#REF!="",#REF!="",#REF!="",#REF!="",AN16&lt;&gt;"",#REF!&lt;&gt;"",#REF!="",#REF!="",AO16&lt;&gt;"",#REF!&lt;&gt;"",#REF!="",#REF!="",#REF!="",#REF!=""),"No Bid",IF(AND(AC16=99999,OR(AF16&lt;&gt;"",AF16=99999),AG16&lt;&gt;"",AJ16&lt;&gt;"",AK16=99999,#REF!&lt;&gt;"",#REF!&lt;&gt;"",#REF!&lt;&gt;"",#REF!&lt;&gt;"",#REF!&lt;&gt;"",#REF!&lt;&gt;"",AN16&lt;&gt;"",#REF!&lt;&gt;"",#REF!="",#REF!="",AO16&lt;&gt;"",#REF!&lt;&gt;"",#REF!="",#REF!="",#REF!&lt;&gt;"",(IF((OR(#REF!="No Trans-Shipments",#REF!="")),(AND(#REF!="",#REF!="")),(IF(#REF!="1 Trans-Shipment",(AND(#REF!&lt;&gt;"",#REF!="")),(AND(#REF!&lt;&gt;"",#REF!&lt;&gt;"")))))),#REF!&lt;&gt;""),"Complete Bid","Incomplete Bid")))))</f>
        <v>#REF!</v>
      </c>
      <c r="AQ16" s="25" t="n">
        <f aca="false">(IF((F16="Door to Port"),(IF(AND(AC16="",AF16="",AG16="",AJ16="",AK16=99999,#REF!="",#REF!="",#REF!="",#REF!="",#REF!="",#REF!="",AN16="",#REF!="",#REF!="",#REF!="",AO16&lt;&gt;"",#REF!&lt;&gt;"",#REF!="",#REF!="",#REF!="",#REF!=""),"No Bid",IF(AND(AC16&lt;&gt;"",AF16&lt;&gt;"",AG16&lt;&gt;"",AJ16&lt;&gt;"",AK16=99999,#REF!&lt;&gt;"",#REF!&lt;&gt;"",#REF!&lt;&gt;"",#REF!&lt;&gt;"",#REF!&lt;&gt;"",#REF!&lt;&gt;"",AN16&lt;&gt;"",#REF!&lt;&gt;"",OR(#REF!="",#REF!&lt;&gt;""),#REF!&lt;&gt;"",AO16&lt;&gt;"",#REF!&lt;&gt;"",#REF!="",#REF!="",#REF!&lt;&gt;"",(IF((OR((#REF!="No Trans-Shipments"),(#REF!=""))),(AND(#REF!="",#REF!="")),(IF(#REF!="1 Trans-Shipment",(AND(#REF!&lt;&gt;"",#REF!="")),(AND(#REF!&lt;&gt;"",#REF!&lt;&gt;"")))))),#REF!&lt;&gt;""),"Complete Bid","Incomplete Bid")))))</f>
        <v>0</v>
      </c>
      <c r="AR16" s="25" t="n">
        <f aca="false">(IF((F16="Port to Door"),(IF(AND(AC16=99999,OR(AF16="",AF16=99999),AG16="",AJ16="",AK16="",#REF!="",#REF!="",#REF!="",#REF!="",#REF!="",#REF!="",AN16&lt;&gt;"",#REF!&lt;&gt;"",#REF!="",#REF!="",AO16="",#REF!="",#REF!="",#REF!="",#REF!="",#REF!=""),"No Bid",IF(AND(AC16=99999,OR(AF16&lt;&gt;"",AF16=99999),AG16&lt;&gt;"",AJ16&lt;&gt;"",AK16&lt;&gt;"",#REF!&lt;&gt;"",#REF!&lt;&gt;"",#REF!&lt;&gt;"",#REF!&lt;&gt;"",#REF!&lt;&gt;"",#REF!&lt;&gt;"",AN16&lt;&gt;"",#REF!&lt;&gt;"",#REF!="",#REF!="",AO16&lt;&gt;"",#REF!&lt;&gt;"",OR(#REF!&lt;&gt;"",#REF!=""),#REF!&lt;&gt;"",#REF!&lt;&gt;"",(IF((OR(#REF!="No Trans-Shipments",#REF!="")),(AND(#REF!="",#REF!="")),(IF(#REF!="1 Trans-Shipment",(AND(#REF!&lt;&gt;"",#REF!="")),(AND(#REF!&lt;&gt;"",#REF!&lt;&gt;"")))))),#REF!&lt;&gt;""),"Complete Bid","Incomplete Bid")))))</f>
        <v>0</v>
      </c>
      <c r="AS16" s="25" t="n">
        <f aca="false">(IF((F16="Door to Door"),(IF(AND(AC16="",AF16="",AG16="",AJ16="",AK16="",#REF!="",#REF!="",#REF!="",#REF!="",#REF!="",#REF!="",AN16="",#REF!="",#REF!="",#REF!="",AO16="",#REF!="",#REF!="",#REF!="",#REF!="",#REF!=""),"No Bid",IF(AND(AC16&lt;&gt;"",AF16&lt;&gt;"",AG16&lt;&gt;"",AJ16&lt;&gt;"",AK16&lt;&gt;"",#REF!&lt;&gt;"",#REF!&lt;&gt;"",#REF!&lt;&gt;"",#REF!&lt;&gt;"",#REF!&lt;&gt;"",#REF!&lt;&gt;"",AN16&lt;&gt;"",#REF!&lt;&gt;"",OR(#REF!&lt;&gt;"",#REF!=""),#REF!&lt;&gt;"",AO16&lt;&gt;"",#REF!&lt;&gt;"",OR(#REF!&lt;&gt;"",#REF!=""),#REF!&lt;&gt;"",#REF!&lt;&gt;"",(IF((OR(#REF!="No Trans-Shipments",#REF!="")),(AND(#REF!="",#REF!="")),(IF(#REF!="1 Trans-Shipment",(AND(#REF!&lt;&gt;"",#REF!="")),(AND(#REF!&lt;&gt;"",#REF!&lt;&gt;"")))))),#REF!&lt;&gt;""),"Complete Bid","Incomplete Bid")))))</f>
        <v>0</v>
      </c>
    </row>
    <row r="17" customFormat="false" ht="12.75" hidden="false" customHeight="true" outlineLevel="0" collapsed="false">
      <c r="A17" s="2" t="s">
        <v>56</v>
      </c>
      <c r="B17" s="23" t="s">
        <v>143</v>
      </c>
      <c r="C17" s="3" t="s">
        <v>58</v>
      </c>
      <c r="D17" s="3" t="s">
        <v>144</v>
      </c>
      <c r="E17" s="3" t="s">
        <v>145</v>
      </c>
      <c r="F17" s="3" t="s">
        <v>61</v>
      </c>
      <c r="G17" s="3" t="s">
        <v>146</v>
      </c>
      <c r="H17" s="3" t="s">
        <v>58</v>
      </c>
      <c r="I17" s="3" t="s">
        <v>123</v>
      </c>
      <c r="J17" s="3" t="s">
        <v>124</v>
      </c>
      <c r="K17" s="3" t="s">
        <v>58</v>
      </c>
      <c r="L17" s="3" t="s">
        <v>109</v>
      </c>
      <c r="M17" s="3" t="s">
        <v>110</v>
      </c>
      <c r="N17" s="3" t="s">
        <v>66</v>
      </c>
      <c r="O17" s="3"/>
      <c r="P17" s="3" t="s">
        <v>68</v>
      </c>
      <c r="Q17" s="3"/>
      <c r="R17" s="3" t="s">
        <v>126</v>
      </c>
      <c r="S17" s="3"/>
      <c r="T17" s="3" t="s">
        <v>147</v>
      </c>
      <c r="U17" s="3"/>
      <c r="V17" s="4" t="s">
        <v>73</v>
      </c>
      <c r="W17" s="4"/>
      <c r="X17" s="4" t="n">
        <v>14</v>
      </c>
      <c r="Y17" s="4" t="n">
        <v>7</v>
      </c>
      <c r="Z17" s="4" t="n">
        <v>5</v>
      </c>
      <c r="AA17" s="4" t="n">
        <v>18</v>
      </c>
      <c r="AB17" s="4" t="n">
        <v>271</v>
      </c>
      <c r="AC17" s="5" t="n">
        <v>99999</v>
      </c>
      <c r="AD17" s="3" t="s">
        <v>128</v>
      </c>
      <c r="AE17" s="6" t="n">
        <v>1177.1217125</v>
      </c>
      <c r="AF17" s="5" t="n">
        <v>82</v>
      </c>
      <c r="AG17" s="5" t="n">
        <v>1235</v>
      </c>
      <c r="AH17" s="3" t="s">
        <v>114</v>
      </c>
      <c r="AI17" s="6" t="n">
        <v>1.4660412083</v>
      </c>
      <c r="AJ17" s="7"/>
      <c r="AK17" s="5" t="n">
        <v>99999</v>
      </c>
      <c r="AL17" s="4" t="n">
        <f aca="false">(IF(AC17=99999,0,AC17))+((IF(AF17=99999,0,AF17))/AE17)+AG17+(AJ17/AI17)+(IF(AK17=99999,0,AK17))</f>
        <v>1235.06966144548</v>
      </c>
      <c r="AM17" s="4" t="n">
        <f aca="false">AL17+AB17</f>
        <v>1506.06966144548</v>
      </c>
      <c r="AN17" s="8" t="s">
        <v>124</v>
      </c>
      <c r="AO17" s="8" t="s">
        <v>110</v>
      </c>
      <c r="AP17" s="24" t="e">
        <f aca="false">(IF((F17="Port to Port"),(IF(AND(AC17=99999,OR(AF17="",AF17=99999),AG17="",AJ17="",AK17=99999,#REF!="",#REF!="",#REF!="",#REF!="",#REF!="",#REF!="",AN17&lt;&gt;"",#REF!&lt;&gt;"",#REF!="",#REF!="",AO17&lt;&gt;"",#REF!&lt;&gt;"",#REF!="",#REF!="",#REF!="",#REF!=""),"No Bid",IF(AND(AC17=99999,OR(AF17&lt;&gt;"",AF17=99999),AG17&lt;&gt;"",AJ17&lt;&gt;"",AK17=99999,#REF!&lt;&gt;"",#REF!&lt;&gt;"",#REF!&lt;&gt;"",#REF!&lt;&gt;"",#REF!&lt;&gt;"",#REF!&lt;&gt;"",AN17&lt;&gt;"",#REF!&lt;&gt;"",#REF!="",#REF!="",AO17&lt;&gt;"",#REF!&lt;&gt;"",#REF!="",#REF!="",#REF!&lt;&gt;"",(IF((OR(#REF!="No Trans-Shipments",#REF!="")),(AND(#REF!="",#REF!="")),(IF(#REF!="1 Trans-Shipment",(AND(#REF!&lt;&gt;"",#REF!="")),(AND(#REF!&lt;&gt;"",#REF!&lt;&gt;"")))))),#REF!&lt;&gt;""),"Complete Bid","Incomplete Bid")))))</f>
        <v>#REF!</v>
      </c>
      <c r="AQ17" s="25" t="n">
        <f aca="false">(IF((F17="Door to Port"),(IF(AND(AC17="",AF17="",AG17="",AJ17="",AK17=99999,#REF!="",#REF!="",#REF!="",#REF!="",#REF!="",#REF!="",AN17="",#REF!="",#REF!="",#REF!="",AO17&lt;&gt;"",#REF!&lt;&gt;"",#REF!="",#REF!="",#REF!="",#REF!=""),"No Bid",IF(AND(AC17&lt;&gt;"",AF17&lt;&gt;"",AG17&lt;&gt;"",AJ17&lt;&gt;"",AK17=99999,#REF!&lt;&gt;"",#REF!&lt;&gt;"",#REF!&lt;&gt;"",#REF!&lt;&gt;"",#REF!&lt;&gt;"",#REF!&lt;&gt;"",AN17&lt;&gt;"",#REF!&lt;&gt;"",OR(#REF!="",#REF!&lt;&gt;""),#REF!&lt;&gt;"",AO17&lt;&gt;"",#REF!&lt;&gt;"",#REF!="",#REF!="",#REF!&lt;&gt;"",(IF((OR((#REF!="No Trans-Shipments"),(#REF!=""))),(AND(#REF!="",#REF!="")),(IF(#REF!="1 Trans-Shipment",(AND(#REF!&lt;&gt;"",#REF!="")),(AND(#REF!&lt;&gt;"",#REF!&lt;&gt;"")))))),#REF!&lt;&gt;""),"Complete Bid","Incomplete Bid")))))</f>
        <v>0</v>
      </c>
      <c r="AR17" s="25" t="n">
        <f aca="false">(IF((F17="Port to Door"),(IF(AND(AC17=99999,OR(AF17="",AF17=99999),AG17="",AJ17="",AK17="",#REF!="",#REF!="",#REF!="",#REF!="",#REF!="",#REF!="",AN17&lt;&gt;"",#REF!&lt;&gt;"",#REF!="",#REF!="",AO17="",#REF!="",#REF!="",#REF!="",#REF!="",#REF!=""),"No Bid",IF(AND(AC17=99999,OR(AF17&lt;&gt;"",AF17=99999),AG17&lt;&gt;"",AJ17&lt;&gt;"",AK17&lt;&gt;"",#REF!&lt;&gt;"",#REF!&lt;&gt;"",#REF!&lt;&gt;"",#REF!&lt;&gt;"",#REF!&lt;&gt;"",#REF!&lt;&gt;"",AN17&lt;&gt;"",#REF!&lt;&gt;"",#REF!="",#REF!="",AO17&lt;&gt;"",#REF!&lt;&gt;"",OR(#REF!&lt;&gt;"",#REF!=""),#REF!&lt;&gt;"",#REF!&lt;&gt;"",(IF((OR(#REF!="No Trans-Shipments",#REF!="")),(AND(#REF!="",#REF!="")),(IF(#REF!="1 Trans-Shipment",(AND(#REF!&lt;&gt;"",#REF!="")),(AND(#REF!&lt;&gt;"",#REF!&lt;&gt;"")))))),#REF!&lt;&gt;""),"Complete Bid","Incomplete Bid")))))</f>
        <v>0</v>
      </c>
      <c r="AS17" s="25" t="n">
        <f aca="false">(IF((F17="Door to Door"),(IF(AND(AC17="",AF17="",AG17="",AJ17="",AK17="",#REF!="",#REF!="",#REF!="",#REF!="",#REF!="",#REF!="",AN17="",#REF!="",#REF!="",#REF!="",AO17="",#REF!="",#REF!="",#REF!="",#REF!="",#REF!=""),"No Bid",IF(AND(AC17&lt;&gt;"",AF17&lt;&gt;"",AG17&lt;&gt;"",AJ17&lt;&gt;"",AK17&lt;&gt;"",#REF!&lt;&gt;"",#REF!&lt;&gt;"",#REF!&lt;&gt;"",#REF!&lt;&gt;"",#REF!&lt;&gt;"",#REF!&lt;&gt;"",AN17&lt;&gt;"",#REF!&lt;&gt;"",OR(#REF!&lt;&gt;"",#REF!=""),#REF!&lt;&gt;"",AO17&lt;&gt;"",#REF!&lt;&gt;"",OR(#REF!&lt;&gt;"",#REF!=""),#REF!&lt;&gt;"",#REF!&lt;&gt;"",(IF((OR(#REF!="No Trans-Shipments",#REF!="")),(AND(#REF!="",#REF!="")),(IF(#REF!="1 Trans-Shipment",(AND(#REF!&lt;&gt;"",#REF!="")),(AND(#REF!&lt;&gt;"",#REF!&lt;&gt;"")))))),#REF!&lt;&gt;""),"Complete Bid","Incomplete Bid")))))</f>
        <v>0</v>
      </c>
    </row>
    <row r="18" customFormat="false" ht="12.75" hidden="false" customHeight="true" outlineLevel="0" collapsed="false">
      <c r="A18" s="2" t="s">
        <v>56</v>
      </c>
      <c r="B18" s="23" t="s">
        <v>148</v>
      </c>
      <c r="C18" s="3" t="s">
        <v>58</v>
      </c>
      <c r="D18" s="3" t="s">
        <v>149</v>
      </c>
      <c r="E18" s="3" t="s">
        <v>145</v>
      </c>
      <c r="F18" s="3" t="s">
        <v>61</v>
      </c>
      <c r="G18" s="3" t="s">
        <v>146</v>
      </c>
      <c r="H18" s="3" t="s">
        <v>58</v>
      </c>
      <c r="I18" s="3" t="s">
        <v>123</v>
      </c>
      <c r="J18" s="3" t="s">
        <v>124</v>
      </c>
      <c r="K18" s="3" t="s">
        <v>58</v>
      </c>
      <c r="L18" s="3" t="s">
        <v>109</v>
      </c>
      <c r="M18" s="3" t="s">
        <v>110</v>
      </c>
      <c r="N18" s="3" t="s">
        <v>80</v>
      </c>
      <c r="O18" s="3"/>
      <c r="P18" s="3" t="s">
        <v>68</v>
      </c>
      <c r="Q18" s="3"/>
      <c r="R18" s="3" t="s">
        <v>126</v>
      </c>
      <c r="S18" s="3"/>
      <c r="T18" s="3" t="s">
        <v>147</v>
      </c>
      <c r="U18" s="3"/>
      <c r="V18" s="4" t="n">
        <v>86</v>
      </c>
      <c r="W18" s="4" t="s">
        <v>150</v>
      </c>
      <c r="X18" s="4" t="n">
        <v>14</v>
      </c>
      <c r="Y18" s="4" t="n">
        <v>7</v>
      </c>
      <c r="Z18" s="4" t="n">
        <v>5</v>
      </c>
      <c r="AA18" s="4" t="n">
        <v>18</v>
      </c>
      <c r="AB18" s="4" t="n">
        <v>542</v>
      </c>
      <c r="AC18" s="5" t="n">
        <v>99999</v>
      </c>
      <c r="AD18" s="3" t="s">
        <v>128</v>
      </c>
      <c r="AE18" s="6" t="n">
        <v>1177.1217125</v>
      </c>
      <c r="AF18" s="5" t="n">
        <v>83</v>
      </c>
      <c r="AG18" s="5" t="n">
        <v>1236</v>
      </c>
      <c r="AH18" s="3" t="s">
        <v>114</v>
      </c>
      <c r="AI18" s="6" t="n">
        <v>1.4660412083</v>
      </c>
      <c r="AJ18" s="7"/>
      <c r="AK18" s="5" t="n">
        <v>99999</v>
      </c>
      <c r="AL18" s="4" t="n">
        <f aca="false">(IF(AC18=99999,0,AC18))+((IF(AF18=99999,0,AF18))/AE18)+AG18+(AJ18/AI18)+(IF(AK18=99999,0,AK18))</f>
        <v>1236.0705109753</v>
      </c>
      <c r="AM18" s="4" t="n">
        <f aca="false">AL18+AB18</f>
        <v>1778.0705109753</v>
      </c>
      <c r="AN18" s="8" t="s">
        <v>124</v>
      </c>
      <c r="AO18" s="8" t="s">
        <v>110</v>
      </c>
      <c r="AP18" s="24" t="e">
        <f aca="false">(IF((F18="Port to Port"),(IF(AND(AC18=99999,OR(AF18="",AF18=99999),AG18="",AJ18="",AK18=99999,#REF!="",#REF!="",#REF!="",#REF!="",#REF!="",#REF!="",AN18&lt;&gt;"",#REF!&lt;&gt;"",#REF!="",#REF!="",AO18&lt;&gt;"",#REF!&lt;&gt;"",#REF!="",#REF!="",#REF!="",#REF!=""),"No Bid",IF(AND(AC18=99999,OR(AF18&lt;&gt;"",AF18=99999),AG18&lt;&gt;"",AJ18&lt;&gt;"",AK18=99999,#REF!&lt;&gt;"",#REF!&lt;&gt;"",#REF!&lt;&gt;"",#REF!&lt;&gt;"",#REF!&lt;&gt;"",#REF!&lt;&gt;"",AN18&lt;&gt;"",#REF!&lt;&gt;"",#REF!="",#REF!="",AO18&lt;&gt;"",#REF!&lt;&gt;"",#REF!="",#REF!="",#REF!&lt;&gt;"",(IF((OR(#REF!="No Trans-Shipments",#REF!="")),(AND(#REF!="",#REF!="")),(IF(#REF!="1 Trans-Shipment",(AND(#REF!&lt;&gt;"",#REF!="")),(AND(#REF!&lt;&gt;"",#REF!&lt;&gt;"")))))),#REF!&lt;&gt;""),"Complete Bid","Incomplete Bid")))))</f>
        <v>#REF!</v>
      </c>
      <c r="AQ18" s="25" t="n">
        <f aca="false">(IF((F18="Door to Port"),(IF(AND(AC18="",AF18="",AG18="",AJ18="",AK18=99999,#REF!="",#REF!="",#REF!="",#REF!="",#REF!="",#REF!="",AN18="",#REF!="",#REF!="",#REF!="",AO18&lt;&gt;"",#REF!&lt;&gt;"",#REF!="",#REF!="",#REF!="",#REF!=""),"No Bid",IF(AND(AC18&lt;&gt;"",AF18&lt;&gt;"",AG18&lt;&gt;"",AJ18&lt;&gt;"",AK18=99999,#REF!&lt;&gt;"",#REF!&lt;&gt;"",#REF!&lt;&gt;"",#REF!&lt;&gt;"",#REF!&lt;&gt;"",#REF!&lt;&gt;"",AN18&lt;&gt;"",#REF!&lt;&gt;"",OR(#REF!="",#REF!&lt;&gt;""),#REF!&lt;&gt;"",AO18&lt;&gt;"",#REF!&lt;&gt;"",#REF!="",#REF!="",#REF!&lt;&gt;"",(IF((OR((#REF!="No Trans-Shipments"),(#REF!=""))),(AND(#REF!="",#REF!="")),(IF(#REF!="1 Trans-Shipment",(AND(#REF!&lt;&gt;"",#REF!="")),(AND(#REF!&lt;&gt;"",#REF!&lt;&gt;"")))))),#REF!&lt;&gt;""),"Complete Bid","Incomplete Bid")))))</f>
        <v>0</v>
      </c>
      <c r="AR18" s="25" t="n">
        <f aca="false">(IF((F18="Port to Door"),(IF(AND(AC18=99999,OR(AF18="",AF18=99999),AG18="",AJ18="",AK18="",#REF!="",#REF!="",#REF!="",#REF!="",#REF!="",#REF!="",AN18&lt;&gt;"",#REF!&lt;&gt;"",#REF!="",#REF!="",AO18="",#REF!="",#REF!="",#REF!="",#REF!="",#REF!=""),"No Bid",IF(AND(AC18=99999,OR(AF18&lt;&gt;"",AF18=99999),AG18&lt;&gt;"",AJ18&lt;&gt;"",AK18&lt;&gt;"",#REF!&lt;&gt;"",#REF!&lt;&gt;"",#REF!&lt;&gt;"",#REF!&lt;&gt;"",#REF!&lt;&gt;"",#REF!&lt;&gt;"",AN18&lt;&gt;"",#REF!&lt;&gt;"",#REF!="",#REF!="",AO18&lt;&gt;"",#REF!&lt;&gt;"",OR(#REF!&lt;&gt;"",#REF!=""),#REF!&lt;&gt;"",#REF!&lt;&gt;"",(IF((OR(#REF!="No Trans-Shipments",#REF!="")),(AND(#REF!="",#REF!="")),(IF(#REF!="1 Trans-Shipment",(AND(#REF!&lt;&gt;"",#REF!="")),(AND(#REF!&lt;&gt;"",#REF!&lt;&gt;"")))))),#REF!&lt;&gt;""),"Complete Bid","Incomplete Bid")))))</f>
        <v>0</v>
      </c>
      <c r="AS18" s="25" t="n">
        <f aca="false">(IF((F18="Door to Door"),(IF(AND(AC18="",AF18="",AG18="",AJ18="",AK18="",#REF!="",#REF!="",#REF!="",#REF!="",#REF!="",#REF!="",AN18="",#REF!="",#REF!="",#REF!="",AO18="",#REF!="",#REF!="",#REF!="",#REF!="",#REF!=""),"No Bid",IF(AND(AC18&lt;&gt;"",AF18&lt;&gt;"",AG18&lt;&gt;"",AJ18&lt;&gt;"",AK18&lt;&gt;"",#REF!&lt;&gt;"",#REF!&lt;&gt;"",#REF!&lt;&gt;"",#REF!&lt;&gt;"",#REF!&lt;&gt;"",#REF!&lt;&gt;"",AN18&lt;&gt;"",#REF!&lt;&gt;"",OR(#REF!&lt;&gt;"",#REF!=""),#REF!&lt;&gt;"",AO18&lt;&gt;"",#REF!&lt;&gt;"",OR(#REF!&lt;&gt;"",#REF!=""),#REF!&lt;&gt;"",#REF!&lt;&gt;"",(IF((OR(#REF!="No Trans-Shipments",#REF!="")),(AND(#REF!="",#REF!="")),(IF(#REF!="1 Trans-Shipment",(AND(#REF!&lt;&gt;"",#REF!="")),(AND(#REF!&lt;&gt;"",#REF!&lt;&gt;"")))))),#REF!&lt;&gt;""),"Complete Bid","Incomplete Bid")))))</f>
        <v>0</v>
      </c>
    </row>
    <row r="19" customFormat="false" ht="12.75" hidden="false" customHeight="true" outlineLevel="0" collapsed="false">
      <c r="A19" s="2" t="s">
        <v>56</v>
      </c>
      <c r="B19" s="23" t="s">
        <v>151</v>
      </c>
      <c r="C19" s="3" t="s">
        <v>58</v>
      </c>
      <c r="D19" s="3" t="s">
        <v>152</v>
      </c>
      <c r="E19" s="3" t="s">
        <v>153</v>
      </c>
      <c r="F19" s="3" t="s">
        <v>61</v>
      </c>
      <c r="G19" s="3" t="s">
        <v>146</v>
      </c>
      <c r="H19" s="3" t="s">
        <v>58</v>
      </c>
      <c r="I19" s="3" t="s">
        <v>123</v>
      </c>
      <c r="J19" s="3" t="s">
        <v>124</v>
      </c>
      <c r="K19" s="3" t="s">
        <v>58</v>
      </c>
      <c r="L19" s="3" t="s">
        <v>154</v>
      </c>
      <c r="M19" s="3" t="s">
        <v>154</v>
      </c>
      <c r="N19" s="3" t="s">
        <v>66</v>
      </c>
      <c r="O19" s="3"/>
      <c r="P19" s="3" t="s">
        <v>68</v>
      </c>
      <c r="Q19" s="3"/>
      <c r="R19" s="3" t="s">
        <v>126</v>
      </c>
      <c r="S19" s="3"/>
      <c r="T19" s="3" t="s">
        <v>155</v>
      </c>
      <c r="U19" s="3"/>
      <c r="V19" s="4" t="n">
        <v>2</v>
      </c>
      <c r="W19" s="4"/>
      <c r="X19" s="4" t="n">
        <v>14</v>
      </c>
      <c r="Y19" s="4" t="n">
        <v>7</v>
      </c>
      <c r="Z19" s="4" t="n">
        <v>5</v>
      </c>
      <c r="AA19" s="4" t="n">
        <v>5</v>
      </c>
      <c r="AB19" s="4" t="n">
        <v>271</v>
      </c>
      <c r="AC19" s="5" t="n">
        <v>99999</v>
      </c>
      <c r="AD19" s="3" t="s">
        <v>128</v>
      </c>
      <c r="AE19" s="6" t="n">
        <v>1177.1217125</v>
      </c>
      <c r="AF19" s="5" t="n">
        <v>84</v>
      </c>
      <c r="AG19" s="5" t="n">
        <v>1237</v>
      </c>
      <c r="AH19" s="3" t="s">
        <v>156</v>
      </c>
      <c r="AI19" s="6" t="n">
        <v>1</v>
      </c>
      <c r="AJ19" s="7"/>
      <c r="AK19" s="5" t="n">
        <v>99999</v>
      </c>
      <c r="AL19" s="4" t="n">
        <f aca="false">(IF(AC19=99999,0,AC19))+((IF(AF19=99999,0,AF19))/AE19)+AG19+(AJ19/AI19)+(IF(AK19=99999,0,AK19))</f>
        <v>1237.07136050513</v>
      </c>
      <c r="AM19" s="4" t="n">
        <f aca="false">AL19+AB19</f>
        <v>1508.07136050513</v>
      </c>
      <c r="AN19" s="8" t="s">
        <v>124</v>
      </c>
      <c r="AO19" s="8" t="s">
        <v>154</v>
      </c>
      <c r="AP19" s="24" t="e">
        <f aca="false">(IF((F19="Port to Port"),(IF(AND(AC19=99999,OR(AF19="",AF19=99999),AG19="",AJ19="",AK19=99999,#REF!="",#REF!="",#REF!="",#REF!="",#REF!="",#REF!="",AN19&lt;&gt;"",#REF!&lt;&gt;"",#REF!="",#REF!="",AO19&lt;&gt;"",#REF!&lt;&gt;"",#REF!="",#REF!="",#REF!="",#REF!=""),"No Bid",IF(AND(AC19=99999,OR(AF19&lt;&gt;"",AF19=99999),AG19&lt;&gt;"",AJ19&lt;&gt;"",AK19=99999,#REF!&lt;&gt;"",#REF!&lt;&gt;"",#REF!&lt;&gt;"",#REF!&lt;&gt;"",#REF!&lt;&gt;"",#REF!&lt;&gt;"",AN19&lt;&gt;"",#REF!&lt;&gt;"",#REF!="",#REF!="",AO19&lt;&gt;"",#REF!&lt;&gt;"",#REF!="",#REF!="",#REF!&lt;&gt;"",(IF((OR(#REF!="No Trans-Shipments",#REF!="")),(AND(#REF!="",#REF!="")),(IF(#REF!="1 Trans-Shipment",(AND(#REF!&lt;&gt;"",#REF!="")),(AND(#REF!&lt;&gt;"",#REF!&lt;&gt;"")))))),#REF!&lt;&gt;""),"Complete Bid","Incomplete Bid")))))</f>
        <v>#REF!</v>
      </c>
      <c r="AQ19" s="25" t="n">
        <f aca="false">(IF((F19="Door to Port"),(IF(AND(AC19="",AF19="",AG19="",AJ19="",AK19=99999,#REF!="",#REF!="",#REF!="",#REF!="",#REF!="",#REF!="",AN19="",#REF!="",#REF!="",#REF!="",AO19&lt;&gt;"",#REF!&lt;&gt;"",#REF!="",#REF!="",#REF!="",#REF!=""),"No Bid",IF(AND(AC19&lt;&gt;"",AF19&lt;&gt;"",AG19&lt;&gt;"",AJ19&lt;&gt;"",AK19=99999,#REF!&lt;&gt;"",#REF!&lt;&gt;"",#REF!&lt;&gt;"",#REF!&lt;&gt;"",#REF!&lt;&gt;"",#REF!&lt;&gt;"",AN19&lt;&gt;"",#REF!&lt;&gt;"",OR(#REF!="",#REF!&lt;&gt;""),#REF!&lt;&gt;"",AO19&lt;&gt;"",#REF!&lt;&gt;"",#REF!="",#REF!="",#REF!&lt;&gt;"",(IF((OR((#REF!="No Trans-Shipments"),(#REF!=""))),(AND(#REF!="",#REF!="")),(IF(#REF!="1 Trans-Shipment",(AND(#REF!&lt;&gt;"",#REF!="")),(AND(#REF!&lt;&gt;"",#REF!&lt;&gt;"")))))),#REF!&lt;&gt;""),"Complete Bid","Incomplete Bid")))))</f>
        <v>0</v>
      </c>
      <c r="AR19" s="25" t="n">
        <f aca="false">(IF((F19="Port to Door"),(IF(AND(AC19=99999,OR(AF19="",AF19=99999),AG19="",AJ19="",AK19="",#REF!="",#REF!="",#REF!="",#REF!="",#REF!="",#REF!="",AN19&lt;&gt;"",#REF!&lt;&gt;"",#REF!="",#REF!="",AO19="",#REF!="",#REF!="",#REF!="",#REF!="",#REF!=""),"No Bid",IF(AND(AC19=99999,OR(AF19&lt;&gt;"",AF19=99999),AG19&lt;&gt;"",AJ19&lt;&gt;"",AK19&lt;&gt;"",#REF!&lt;&gt;"",#REF!&lt;&gt;"",#REF!&lt;&gt;"",#REF!&lt;&gt;"",#REF!&lt;&gt;"",#REF!&lt;&gt;"",AN19&lt;&gt;"",#REF!&lt;&gt;"",#REF!="",#REF!="",AO19&lt;&gt;"",#REF!&lt;&gt;"",OR(#REF!&lt;&gt;"",#REF!=""),#REF!&lt;&gt;"",#REF!&lt;&gt;"",(IF((OR(#REF!="No Trans-Shipments",#REF!="")),(AND(#REF!="",#REF!="")),(IF(#REF!="1 Trans-Shipment",(AND(#REF!&lt;&gt;"",#REF!="")),(AND(#REF!&lt;&gt;"",#REF!&lt;&gt;"")))))),#REF!&lt;&gt;""),"Complete Bid","Incomplete Bid")))))</f>
        <v>0</v>
      </c>
      <c r="AS19" s="25" t="n">
        <f aca="false">(IF((F19="Door to Door"),(IF(AND(AC19="",AF19="",AG19="",AJ19="",AK19="",#REF!="",#REF!="",#REF!="",#REF!="",#REF!="",#REF!="",AN19="",#REF!="",#REF!="",#REF!="",AO19="",#REF!="",#REF!="",#REF!="",#REF!="",#REF!=""),"No Bid",IF(AND(AC19&lt;&gt;"",AF19&lt;&gt;"",AG19&lt;&gt;"",AJ19&lt;&gt;"",AK19&lt;&gt;"",#REF!&lt;&gt;"",#REF!&lt;&gt;"",#REF!&lt;&gt;"",#REF!&lt;&gt;"",#REF!&lt;&gt;"",#REF!&lt;&gt;"",AN19&lt;&gt;"",#REF!&lt;&gt;"",OR(#REF!&lt;&gt;"",#REF!=""),#REF!&lt;&gt;"",AO19&lt;&gt;"",#REF!&lt;&gt;"",OR(#REF!&lt;&gt;"",#REF!=""),#REF!&lt;&gt;"",#REF!&lt;&gt;"",(IF((OR(#REF!="No Trans-Shipments",#REF!="")),(AND(#REF!="",#REF!="")),(IF(#REF!="1 Trans-Shipment",(AND(#REF!&lt;&gt;"",#REF!="")),(AND(#REF!&lt;&gt;"",#REF!&lt;&gt;"")))))),#REF!&lt;&gt;""),"Complete Bid","Incomplete Bid")))))</f>
        <v>0</v>
      </c>
    </row>
    <row r="20" customFormat="false" ht="12.75" hidden="false" customHeight="true" outlineLevel="0" collapsed="false">
      <c r="A20" s="2" t="s">
        <v>56</v>
      </c>
      <c r="B20" s="23" t="s">
        <v>157</v>
      </c>
      <c r="C20" s="3" t="s">
        <v>58</v>
      </c>
      <c r="D20" s="3" t="s">
        <v>158</v>
      </c>
      <c r="E20" s="3" t="s">
        <v>153</v>
      </c>
      <c r="F20" s="3" t="s">
        <v>61</v>
      </c>
      <c r="G20" s="3" t="s">
        <v>146</v>
      </c>
      <c r="H20" s="3" t="s">
        <v>58</v>
      </c>
      <c r="I20" s="3" t="s">
        <v>123</v>
      </c>
      <c r="J20" s="3" t="s">
        <v>124</v>
      </c>
      <c r="K20" s="3" t="s">
        <v>58</v>
      </c>
      <c r="L20" s="3" t="s">
        <v>154</v>
      </c>
      <c r="M20" s="3" t="s">
        <v>154</v>
      </c>
      <c r="N20" s="3" t="s">
        <v>80</v>
      </c>
      <c r="O20" s="3"/>
      <c r="P20" s="3" t="s">
        <v>68</v>
      </c>
      <c r="Q20" s="3"/>
      <c r="R20" s="3" t="s">
        <v>126</v>
      </c>
      <c r="S20" s="3"/>
      <c r="T20" s="3" t="s">
        <v>155</v>
      </c>
      <c r="U20" s="3"/>
      <c r="V20" s="4" t="n">
        <v>24</v>
      </c>
      <c r="W20" s="4" t="s">
        <v>159</v>
      </c>
      <c r="X20" s="4" t="n">
        <v>14</v>
      </c>
      <c r="Y20" s="4" t="n">
        <v>7</v>
      </c>
      <c r="Z20" s="4" t="n">
        <v>5</v>
      </c>
      <c r="AA20" s="4" t="n">
        <v>5</v>
      </c>
      <c r="AB20" s="4" t="n">
        <v>542</v>
      </c>
      <c r="AC20" s="5" t="n">
        <v>99999</v>
      </c>
      <c r="AD20" s="3" t="s">
        <v>128</v>
      </c>
      <c r="AE20" s="6" t="n">
        <v>1177.1217125</v>
      </c>
      <c r="AF20" s="5" t="n">
        <v>85</v>
      </c>
      <c r="AG20" s="5" t="n">
        <v>1238</v>
      </c>
      <c r="AH20" s="3" t="s">
        <v>156</v>
      </c>
      <c r="AI20" s="6" t="n">
        <v>1</v>
      </c>
      <c r="AJ20" s="7"/>
      <c r="AK20" s="5" t="n">
        <v>99999</v>
      </c>
      <c r="AL20" s="4" t="n">
        <f aca="false">(IF(AC20=99999,0,AC20))+((IF(AF20=99999,0,AF20))/AE20)+AG20+(AJ20/AI20)+(IF(AK20=99999,0,AK20))</f>
        <v>1238.07221003495</v>
      </c>
      <c r="AM20" s="4" t="n">
        <f aca="false">AL20+AB20</f>
        <v>1780.07221003495</v>
      </c>
      <c r="AN20" s="8" t="s">
        <v>124</v>
      </c>
      <c r="AO20" s="8" t="s">
        <v>154</v>
      </c>
      <c r="AP20" s="24" t="e">
        <f aca="false">(IF((F20="Port to Port"),(IF(AND(AC20=99999,OR(AF20="",AF20=99999),AG20="",AJ20="",AK20=99999,#REF!="",#REF!="",#REF!="",#REF!="",#REF!="",#REF!="",AN20&lt;&gt;"",#REF!&lt;&gt;"",#REF!="",#REF!="",AO20&lt;&gt;"",#REF!&lt;&gt;"",#REF!="",#REF!="",#REF!="",#REF!=""),"No Bid",IF(AND(AC20=99999,OR(AF20&lt;&gt;"",AF20=99999),AG20&lt;&gt;"",AJ20&lt;&gt;"",AK20=99999,#REF!&lt;&gt;"",#REF!&lt;&gt;"",#REF!&lt;&gt;"",#REF!&lt;&gt;"",#REF!&lt;&gt;"",#REF!&lt;&gt;"",AN20&lt;&gt;"",#REF!&lt;&gt;"",#REF!="",#REF!="",AO20&lt;&gt;"",#REF!&lt;&gt;"",#REF!="",#REF!="",#REF!&lt;&gt;"",(IF((OR(#REF!="No Trans-Shipments",#REF!="")),(AND(#REF!="",#REF!="")),(IF(#REF!="1 Trans-Shipment",(AND(#REF!&lt;&gt;"",#REF!="")),(AND(#REF!&lt;&gt;"",#REF!&lt;&gt;"")))))),#REF!&lt;&gt;""),"Complete Bid","Incomplete Bid")))))</f>
        <v>#REF!</v>
      </c>
      <c r="AQ20" s="25" t="n">
        <f aca="false">(IF((F20="Door to Port"),(IF(AND(AC20="",AF20="",AG20="",AJ20="",AK20=99999,#REF!="",#REF!="",#REF!="",#REF!="",#REF!="",#REF!="",AN20="",#REF!="",#REF!="",#REF!="",AO20&lt;&gt;"",#REF!&lt;&gt;"",#REF!="",#REF!="",#REF!="",#REF!=""),"No Bid",IF(AND(AC20&lt;&gt;"",AF20&lt;&gt;"",AG20&lt;&gt;"",AJ20&lt;&gt;"",AK20=99999,#REF!&lt;&gt;"",#REF!&lt;&gt;"",#REF!&lt;&gt;"",#REF!&lt;&gt;"",#REF!&lt;&gt;"",#REF!&lt;&gt;"",AN20&lt;&gt;"",#REF!&lt;&gt;"",OR(#REF!="",#REF!&lt;&gt;""),#REF!&lt;&gt;"",AO20&lt;&gt;"",#REF!&lt;&gt;"",#REF!="",#REF!="",#REF!&lt;&gt;"",(IF((OR((#REF!="No Trans-Shipments"),(#REF!=""))),(AND(#REF!="",#REF!="")),(IF(#REF!="1 Trans-Shipment",(AND(#REF!&lt;&gt;"",#REF!="")),(AND(#REF!&lt;&gt;"",#REF!&lt;&gt;"")))))),#REF!&lt;&gt;""),"Complete Bid","Incomplete Bid")))))</f>
        <v>0</v>
      </c>
      <c r="AR20" s="25" t="n">
        <f aca="false">(IF((F20="Port to Door"),(IF(AND(AC20=99999,OR(AF20="",AF20=99999),AG20="",AJ20="",AK20="",#REF!="",#REF!="",#REF!="",#REF!="",#REF!="",#REF!="",AN20&lt;&gt;"",#REF!&lt;&gt;"",#REF!="",#REF!="",AO20="",#REF!="",#REF!="",#REF!="",#REF!="",#REF!=""),"No Bid",IF(AND(AC20=99999,OR(AF20&lt;&gt;"",AF20=99999),AG20&lt;&gt;"",AJ20&lt;&gt;"",AK20&lt;&gt;"",#REF!&lt;&gt;"",#REF!&lt;&gt;"",#REF!&lt;&gt;"",#REF!&lt;&gt;"",#REF!&lt;&gt;"",#REF!&lt;&gt;"",AN20&lt;&gt;"",#REF!&lt;&gt;"",#REF!="",#REF!="",AO20&lt;&gt;"",#REF!&lt;&gt;"",OR(#REF!&lt;&gt;"",#REF!=""),#REF!&lt;&gt;"",#REF!&lt;&gt;"",(IF((OR(#REF!="No Trans-Shipments",#REF!="")),(AND(#REF!="",#REF!="")),(IF(#REF!="1 Trans-Shipment",(AND(#REF!&lt;&gt;"",#REF!="")),(AND(#REF!&lt;&gt;"",#REF!&lt;&gt;"")))))),#REF!&lt;&gt;""),"Complete Bid","Incomplete Bid")))))</f>
        <v>0</v>
      </c>
      <c r="AS20" s="25" t="n">
        <f aca="false">(IF((F20="Door to Door"),(IF(AND(AC20="",AF20="",AG20="",AJ20="",AK20="",#REF!="",#REF!="",#REF!="",#REF!="",#REF!="",#REF!="",AN20="",#REF!="",#REF!="",#REF!="",AO20="",#REF!="",#REF!="",#REF!="",#REF!="",#REF!=""),"No Bid",IF(AND(AC20&lt;&gt;"",AF20&lt;&gt;"",AG20&lt;&gt;"",AJ20&lt;&gt;"",AK20&lt;&gt;"",#REF!&lt;&gt;"",#REF!&lt;&gt;"",#REF!&lt;&gt;"",#REF!&lt;&gt;"",#REF!&lt;&gt;"",#REF!&lt;&gt;"",AN20&lt;&gt;"",#REF!&lt;&gt;"",OR(#REF!&lt;&gt;"",#REF!=""),#REF!&lt;&gt;"",AO20&lt;&gt;"",#REF!&lt;&gt;"",OR(#REF!&lt;&gt;"",#REF!=""),#REF!&lt;&gt;"",#REF!&lt;&gt;"",(IF((OR(#REF!="No Trans-Shipments",#REF!="")),(AND(#REF!="",#REF!="")),(IF(#REF!="1 Trans-Shipment",(AND(#REF!&lt;&gt;"",#REF!="")),(AND(#REF!&lt;&gt;"",#REF!&lt;&gt;"")))))),#REF!&lt;&gt;""),"Complete Bid","Incomplete Bid")))))</f>
        <v>0</v>
      </c>
    </row>
    <row r="21" customFormat="false" ht="12.75" hidden="false" customHeight="true" outlineLevel="0" collapsed="false">
      <c r="A21" s="2" t="s">
        <v>56</v>
      </c>
      <c r="B21" s="23" t="s">
        <v>160</v>
      </c>
      <c r="C21" s="3" t="s">
        <v>58</v>
      </c>
      <c r="D21" s="3" t="s">
        <v>161</v>
      </c>
      <c r="E21" s="3" t="s">
        <v>120</v>
      </c>
      <c r="F21" s="3" t="s">
        <v>61</v>
      </c>
      <c r="G21" s="3" t="s">
        <v>146</v>
      </c>
      <c r="H21" s="3" t="s">
        <v>58</v>
      </c>
      <c r="I21" s="3" t="s">
        <v>123</v>
      </c>
      <c r="J21" s="3" t="s">
        <v>124</v>
      </c>
      <c r="K21" s="3" t="s">
        <v>58</v>
      </c>
      <c r="L21" s="3" t="s">
        <v>162</v>
      </c>
      <c r="M21" s="3" t="s">
        <v>163</v>
      </c>
      <c r="N21" s="3" t="s">
        <v>66</v>
      </c>
      <c r="O21" s="3"/>
      <c r="P21" s="3" t="s">
        <v>68</v>
      </c>
      <c r="Q21" s="3"/>
      <c r="R21" s="3" t="s">
        <v>126</v>
      </c>
      <c r="S21" s="3"/>
      <c r="T21" s="3" t="s">
        <v>164</v>
      </c>
      <c r="U21" s="3"/>
      <c r="V21" s="4" t="n">
        <v>4</v>
      </c>
      <c r="W21" s="4"/>
      <c r="X21" s="4" t="n">
        <v>14</v>
      </c>
      <c r="Y21" s="4" t="n">
        <v>7</v>
      </c>
      <c r="Z21" s="4" t="n">
        <v>18</v>
      </c>
      <c r="AA21" s="4" t="n">
        <v>7</v>
      </c>
      <c r="AB21" s="4" t="n">
        <v>40</v>
      </c>
      <c r="AC21" s="5" t="n">
        <v>99999</v>
      </c>
      <c r="AD21" s="3" t="s">
        <v>128</v>
      </c>
      <c r="AE21" s="6" t="n">
        <v>1177.1217125</v>
      </c>
      <c r="AF21" s="5" t="n">
        <v>86</v>
      </c>
      <c r="AG21" s="5" t="n">
        <v>1239</v>
      </c>
      <c r="AH21" s="3" t="s">
        <v>165</v>
      </c>
      <c r="AI21" s="6" t="n">
        <v>22841.4983333333</v>
      </c>
      <c r="AJ21" s="7"/>
      <c r="AK21" s="5" t="n">
        <v>99999</v>
      </c>
      <c r="AL21" s="4" t="n">
        <f aca="false">(IF(AC21=99999,0,AC21))+((IF(AF21=99999,0,AF21))/AE21)+AG21+(AJ21/AI21)+(IF(AK21=99999,0,AK21))</f>
        <v>1239.07305956477</v>
      </c>
      <c r="AM21" s="4" t="n">
        <f aca="false">AL21+AB21</f>
        <v>1279.07305956477</v>
      </c>
      <c r="AN21" s="8" t="s">
        <v>124</v>
      </c>
      <c r="AO21" s="8" t="s">
        <v>163</v>
      </c>
      <c r="AP21" s="24" t="e">
        <f aca="false">(IF((F21="Port to Port"),(IF(AND(AC21=99999,OR(AF21="",AF21=99999),AG21="",AJ21="",AK21=99999,#REF!="",#REF!="",#REF!="",#REF!="",#REF!="",#REF!="",AN21&lt;&gt;"",#REF!&lt;&gt;"",#REF!="",#REF!="",AO21&lt;&gt;"",#REF!&lt;&gt;"",#REF!="",#REF!="",#REF!="",#REF!=""),"No Bid",IF(AND(AC21=99999,OR(AF21&lt;&gt;"",AF21=99999),AG21&lt;&gt;"",AJ21&lt;&gt;"",AK21=99999,#REF!&lt;&gt;"",#REF!&lt;&gt;"",#REF!&lt;&gt;"",#REF!&lt;&gt;"",#REF!&lt;&gt;"",#REF!&lt;&gt;"",AN21&lt;&gt;"",#REF!&lt;&gt;"",#REF!="",#REF!="",AO21&lt;&gt;"",#REF!&lt;&gt;"",#REF!="",#REF!="",#REF!&lt;&gt;"",(IF((OR(#REF!="No Trans-Shipments",#REF!="")),(AND(#REF!="",#REF!="")),(IF(#REF!="1 Trans-Shipment",(AND(#REF!&lt;&gt;"",#REF!="")),(AND(#REF!&lt;&gt;"",#REF!&lt;&gt;"")))))),#REF!&lt;&gt;""),"Complete Bid","Incomplete Bid")))))</f>
        <v>#REF!</v>
      </c>
      <c r="AQ21" s="25" t="n">
        <f aca="false">(IF((F21="Door to Port"),(IF(AND(AC21="",AF21="",AG21="",AJ21="",AK21=99999,#REF!="",#REF!="",#REF!="",#REF!="",#REF!="",#REF!="",AN21="",#REF!="",#REF!="",#REF!="",AO21&lt;&gt;"",#REF!&lt;&gt;"",#REF!="",#REF!="",#REF!="",#REF!=""),"No Bid",IF(AND(AC21&lt;&gt;"",AF21&lt;&gt;"",AG21&lt;&gt;"",AJ21&lt;&gt;"",AK21=99999,#REF!&lt;&gt;"",#REF!&lt;&gt;"",#REF!&lt;&gt;"",#REF!&lt;&gt;"",#REF!&lt;&gt;"",#REF!&lt;&gt;"",AN21&lt;&gt;"",#REF!&lt;&gt;"",OR(#REF!="",#REF!&lt;&gt;""),#REF!&lt;&gt;"",AO21&lt;&gt;"",#REF!&lt;&gt;"",#REF!="",#REF!="",#REF!&lt;&gt;"",(IF((OR((#REF!="No Trans-Shipments"),(#REF!=""))),(AND(#REF!="",#REF!="")),(IF(#REF!="1 Trans-Shipment",(AND(#REF!&lt;&gt;"",#REF!="")),(AND(#REF!&lt;&gt;"",#REF!&lt;&gt;"")))))),#REF!&lt;&gt;""),"Complete Bid","Incomplete Bid")))))</f>
        <v>0</v>
      </c>
      <c r="AR21" s="25" t="n">
        <f aca="false">(IF((F21="Port to Door"),(IF(AND(AC21=99999,OR(AF21="",AF21=99999),AG21="",AJ21="",AK21="",#REF!="",#REF!="",#REF!="",#REF!="",#REF!="",#REF!="",AN21&lt;&gt;"",#REF!&lt;&gt;"",#REF!="",#REF!="",AO21="",#REF!="",#REF!="",#REF!="",#REF!="",#REF!=""),"No Bid",IF(AND(AC21=99999,OR(AF21&lt;&gt;"",AF21=99999),AG21&lt;&gt;"",AJ21&lt;&gt;"",AK21&lt;&gt;"",#REF!&lt;&gt;"",#REF!&lt;&gt;"",#REF!&lt;&gt;"",#REF!&lt;&gt;"",#REF!&lt;&gt;"",#REF!&lt;&gt;"",AN21&lt;&gt;"",#REF!&lt;&gt;"",#REF!="",#REF!="",AO21&lt;&gt;"",#REF!&lt;&gt;"",OR(#REF!&lt;&gt;"",#REF!=""),#REF!&lt;&gt;"",#REF!&lt;&gt;"",(IF((OR(#REF!="No Trans-Shipments",#REF!="")),(AND(#REF!="",#REF!="")),(IF(#REF!="1 Trans-Shipment",(AND(#REF!&lt;&gt;"",#REF!="")),(AND(#REF!&lt;&gt;"",#REF!&lt;&gt;"")))))),#REF!&lt;&gt;""),"Complete Bid","Incomplete Bid")))))</f>
        <v>0</v>
      </c>
      <c r="AS21" s="25" t="n">
        <f aca="false">(IF((F21="Door to Door"),(IF(AND(AC21="",AF21="",AG21="",AJ21="",AK21="",#REF!="",#REF!="",#REF!="",#REF!="",#REF!="",#REF!="",AN21="",#REF!="",#REF!="",#REF!="",AO21="",#REF!="",#REF!="",#REF!="",#REF!="",#REF!=""),"No Bid",IF(AND(AC21&lt;&gt;"",AF21&lt;&gt;"",AG21&lt;&gt;"",AJ21&lt;&gt;"",AK21&lt;&gt;"",#REF!&lt;&gt;"",#REF!&lt;&gt;"",#REF!&lt;&gt;"",#REF!&lt;&gt;"",#REF!&lt;&gt;"",#REF!&lt;&gt;"",AN21&lt;&gt;"",#REF!&lt;&gt;"",OR(#REF!&lt;&gt;"",#REF!=""),#REF!&lt;&gt;"",AO21&lt;&gt;"",#REF!&lt;&gt;"",OR(#REF!&lt;&gt;"",#REF!=""),#REF!&lt;&gt;"",#REF!&lt;&gt;"",(IF((OR(#REF!="No Trans-Shipments",#REF!="")),(AND(#REF!="",#REF!="")),(IF(#REF!="1 Trans-Shipment",(AND(#REF!&lt;&gt;"",#REF!="")),(AND(#REF!&lt;&gt;"",#REF!&lt;&gt;"")))))),#REF!&lt;&gt;""),"Complete Bid","Incomplete Bid")))))</f>
        <v>0</v>
      </c>
    </row>
    <row r="22" customFormat="false" ht="12.75" hidden="false" customHeight="true" outlineLevel="0" collapsed="false">
      <c r="A22" s="2" t="s">
        <v>56</v>
      </c>
      <c r="B22" s="23" t="s">
        <v>166</v>
      </c>
      <c r="C22" s="3" t="s">
        <v>58</v>
      </c>
      <c r="D22" s="3" t="s">
        <v>167</v>
      </c>
      <c r="E22" s="3" t="s">
        <v>120</v>
      </c>
      <c r="F22" s="3" t="s">
        <v>61</v>
      </c>
      <c r="G22" s="3" t="s">
        <v>168</v>
      </c>
      <c r="H22" s="3" t="s">
        <v>58</v>
      </c>
      <c r="I22" s="3" t="s">
        <v>123</v>
      </c>
      <c r="J22" s="3" t="s">
        <v>124</v>
      </c>
      <c r="K22" s="3" t="s">
        <v>58</v>
      </c>
      <c r="L22" s="3" t="s">
        <v>162</v>
      </c>
      <c r="M22" s="3" t="s">
        <v>163</v>
      </c>
      <c r="N22" s="3" t="s">
        <v>80</v>
      </c>
      <c r="O22" s="3" t="s">
        <v>169</v>
      </c>
      <c r="P22" s="3" t="s">
        <v>68</v>
      </c>
      <c r="Q22" s="3"/>
      <c r="R22" s="3" t="s">
        <v>126</v>
      </c>
      <c r="S22" s="3"/>
      <c r="T22" s="3" t="s">
        <v>164</v>
      </c>
      <c r="U22" s="3"/>
      <c r="V22" s="4" t="n">
        <v>32</v>
      </c>
      <c r="W22" s="4" t="s">
        <v>170</v>
      </c>
      <c r="X22" s="4" t="n">
        <v>14</v>
      </c>
      <c r="Y22" s="4" t="n">
        <v>7</v>
      </c>
      <c r="Z22" s="4" t="n">
        <v>18</v>
      </c>
      <c r="AA22" s="4" t="n">
        <v>7</v>
      </c>
      <c r="AB22" s="4" t="n">
        <v>80</v>
      </c>
      <c r="AC22" s="5" t="n">
        <v>99999</v>
      </c>
      <c r="AD22" s="3" t="s">
        <v>128</v>
      </c>
      <c r="AE22" s="6" t="n">
        <v>1177.1217125</v>
      </c>
      <c r="AF22" s="5" t="n">
        <v>87</v>
      </c>
      <c r="AG22" s="5" t="n">
        <v>1240</v>
      </c>
      <c r="AH22" s="3" t="s">
        <v>165</v>
      </c>
      <c r="AI22" s="6" t="n">
        <v>22841.4983333333</v>
      </c>
      <c r="AJ22" s="7"/>
      <c r="AK22" s="5" t="n">
        <v>99999</v>
      </c>
      <c r="AL22" s="4" t="n">
        <f aca="false">(IF(AC22=99999,0,AC22))+((IF(AF22=99999,0,AF22))/AE22)+AG22+(AJ22/AI22)+(IF(AK22=99999,0,AK22))</f>
        <v>1240.0739090946</v>
      </c>
      <c r="AM22" s="4" t="n">
        <f aca="false">AL22+AB22</f>
        <v>1320.0739090946</v>
      </c>
      <c r="AN22" s="8" t="s">
        <v>124</v>
      </c>
      <c r="AO22" s="8" t="s">
        <v>163</v>
      </c>
      <c r="AP22" s="24" t="e">
        <f aca="false">(IF((F22="Port to Port"),(IF(AND(AC22=99999,OR(AF22="",AF22=99999),AG22="",AJ22="",AK22=99999,#REF!="",#REF!="",#REF!="",#REF!="",#REF!="",#REF!="",AN22&lt;&gt;"",#REF!&lt;&gt;"",#REF!="",#REF!="",AO22&lt;&gt;"",#REF!&lt;&gt;"",#REF!="",#REF!="",#REF!="",#REF!=""),"No Bid",IF(AND(AC22=99999,OR(AF22&lt;&gt;"",AF22=99999),AG22&lt;&gt;"",AJ22&lt;&gt;"",AK22=99999,#REF!&lt;&gt;"",#REF!&lt;&gt;"",#REF!&lt;&gt;"",#REF!&lt;&gt;"",#REF!&lt;&gt;"",#REF!&lt;&gt;"",AN22&lt;&gt;"",#REF!&lt;&gt;"",#REF!="",#REF!="",AO22&lt;&gt;"",#REF!&lt;&gt;"",#REF!="",#REF!="",#REF!&lt;&gt;"",(IF((OR(#REF!="No Trans-Shipments",#REF!="")),(AND(#REF!="",#REF!="")),(IF(#REF!="1 Trans-Shipment",(AND(#REF!&lt;&gt;"",#REF!="")),(AND(#REF!&lt;&gt;"",#REF!&lt;&gt;"")))))),#REF!&lt;&gt;""),"Complete Bid","Incomplete Bid")))))</f>
        <v>#REF!</v>
      </c>
      <c r="AQ22" s="25" t="n">
        <f aca="false">(IF((F22="Door to Port"),(IF(AND(AC22="",AF22="",AG22="",AJ22="",AK22=99999,#REF!="",#REF!="",#REF!="",#REF!="",#REF!="",#REF!="",AN22="",#REF!="",#REF!="",#REF!="",AO22&lt;&gt;"",#REF!&lt;&gt;"",#REF!="",#REF!="",#REF!="",#REF!=""),"No Bid",IF(AND(AC22&lt;&gt;"",AF22&lt;&gt;"",AG22&lt;&gt;"",AJ22&lt;&gt;"",AK22=99999,#REF!&lt;&gt;"",#REF!&lt;&gt;"",#REF!&lt;&gt;"",#REF!&lt;&gt;"",#REF!&lt;&gt;"",#REF!&lt;&gt;"",AN22&lt;&gt;"",#REF!&lt;&gt;"",OR(#REF!="",#REF!&lt;&gt;""),#REF!&lt;&gt;"",AO22&lt;&gt;"",#REF!&lt;&gt;"",#REF!="",#REF!="",#REF!&lt;&gt;"",(IF((OR((#REF!="No Trans-Shipments"),(#REF!=""))),(AND(#REF!="",#REF!="")),(IF(#REF!="1 Trans-Shipment",(AND(#REF!&lt;&gt;"",#REF!="")),(AND(#REF!&lt;&gt;"",#REF!&lt;&gt;"")))))),#REF!&lt;&gt;""),"Complete Bid","Incomplete Bid")))))</f>
        <v>0</v>
      </c>
      <c r="AR22" s="25" t="n">
        <f aca="false">(IF((F22="Port to Door"),(IF(AND(AC22=99999,OR(AF22="",AF22=99999),AG22="",AJ22="",AK22="",#REF!="",#REF!="",#REF!="",#REF!="",#REF!="",#REF!="",AN22&lt;&gt;"",#REF!&lt;&gt;"",#REF!="",#REF!="",AO22="",#REF!="",#REF!="",#REF!="",#REF!="",#REF!=""),"No Bid",IF(AND(AC22=99999,OR(AF22&lt;&gt;"",AF22=99999),AG22&lt;&gt;"",AJ22&lt;&gt;"",AK22&lt;&gt;"",#REF!&lt;&gt;"",#REF!&lt;&gt;"",#REF!&lt;&gt;"",#REF!&lt;&gt;"",#REF!&lt;&gt;"",#REF!&lt;&gt;"",AN22&lt;&gt;"",#REF!&lt;&gt;"",#REF!="",#REF!="",AO22&lt;&gt;"",#REF!&lt;&gt;"",OR(#REF!&lt;&gt;"",#REF!=""),#REF!&lt;&gt;"",#REF!&lt;&gt;"",(IF((OR(#REF!="No Trans-Shipments",#REF!="")),(AND(#REF!="",#REF!="")),(IF(#REF!="1 Trans-Shipment",(AND(#REF!&lt;&gt;"",#REF!="")),(AND(#REF!&lt;&gt;"",#REF!&lt;&gt;"")))))),#REF!&lt;&gt;""),"Complete Bid","Incomplete Bid")))))</f>
        <v>0</v>
      </c>
      <c r="AS22" s="25" t="n">
        <f aca="false">(IF((F22="Door to Door"),(IF(AND(AC22="",AF22="",AG22="",AJ22="",AK22="",#REF!="",#REF!="",#REF!="",#REF!="",#REF!="",#REF!="",AN22="",#REF!="",#REF!="",#REF!="",AO22="",#REF!="",#REF!="",#REF!="",#REF!="",#REF!=""),"No Bid",IF(AND(AC22&lt;&gt;"",AF22&lt;&gt;"",AG22&lt;&gt;"",AJ22&lt;&gt;"",AK22&lt;&gt;"",#REF!&lt;&gt;"",#REF!&lt;&gt;"",#REF!&lt;&gt;"",#REF!&lt;&gt;"",#REF!&lt;&gt;"",#REF!&lt;&gt;"",AN22&lt;&gt;"",#REF!&lt;&gt;"",OR(#REF!&lt;&gt;"",#REF!=""),#REF!&lt;&gt;"",AO22&lt;&gt;"",#REF!&lt;&gt;"",OR(#REF!&lt;&gt;"",#REF!=""),#REF!&lt;&gt;"",#REF!&lt;&gt;"",(IF((OR(#REF!="No Trans-Shipments",#REF!="")),(AND(#REF!="",#REF!="")),(IF(#REF!="1 Trans-Shipment",(AND(#REF!&lt;&gt;"",#REF!="")),(AND(#REF!&lt;&gt;"",#REF!&lt;&gt;"")))))),#REF!&lt;&gt;""),"Complete Bid","Incomplete Bid")))))</f>
        <v>0</v>
      </c>
    </row>
    <row r="23" customFormat="false" ht="12.75" hidden="false" customHeight="true" outlineLevel="0" collapsed="false">
      <c r="A23" s="2" t="s">
        <v>56</v>
      </c>
      <c r="B23" s="23" t="s">
        <v>171</v>
      </c>
      <c r="C23" s="3" t="s">
        <v>58</v>
      </c>
      <c r="D23" s="3" t="s">
        <v>172</v>
      </c>
      <c r="E23" s="3" t="s">
        <v>120</v>
      </c>
      <c r="F23" s="3" t="s">
        <v>61</v>
      </c>
      <c r="G23" s="3" t="s">
        <v>146</v>
      </c>
      <c r="H23" s="3" t="s">
        <v>58</v>
      </c>
      <c r="I23" s="3" t="s">
        <v>123</v>
      </c>
      <c r="J23" s="3" t="s">
        <v>124</v>
      </c>
      <c r="K23" s="3" t="s">
        <v>58</v>
      </c>
      <c r="L23" s="3" t="s">
        <v>65</v>
      </c>
      <c r="M23" s="3" t="s">
        <v>65</v>
      </c>
      <c r="N23" s="3" t="s">
        <v>66</v>
      </c>
      <c r="O23" s="3" t="s">
        <v>67</v>
      </c>
      <c r="P23" s="3" t="s">
        <v>68</v>
      </c>
      <c r="Q23" s="3"/>
      <c r="R23" s="3" t="s">
        <v>126</v>
      </c>
      <c r="S23" s="3"/>
      <c r="T23" s="3" t="s">
        <v>70</v>
      </c>
      <c r="U23" s="3"/>
      <c r="V23" s="4" t="n">
        <v>80</v>
      </c>
      <c r="W23" s="4"/>
      <c r="X23" s="4" t="n">
        <v>14</v>
      </c>
      <c r="Y23" s="4" t="n">
        <v>7</v>
      </c>
      <c r="Z23" s="4" t="n">
        <v>14</v>
      </c>
      <c r="AA23" s="4" t="n">
        <v>7</v>
      </c>
      <c r="AB23" s="4" t="n">
        <v>40</v>
      </c>
      <c r="AC23" s="5" t="n">
        <v>99999</v>
      </c>
      <c r="AD23" s="3" t="s">
        <v>128</v>
      </c>
      <c r="AE23" s="6" t="n">
        <v>1177.1217125</v>
      </c>
      <c r="AF23" s="5" t="n">
        <v>88</v>
      </c>
      <c r="AG23" s="5" t="n">
        <v>1241</v>
      </c>
      <c r="AH23" s="3" t="s">
        <v>77</v>
      </c>
      <c r="AI23" s="6" t="n">
        <v>7.7922162083</v>
      </c>
      <c r="AJ23" s="7"/>
      <c r="AK23" s="5" t="n">
        <v>99999</v>
      </c>
      <c r="AL23" s="4" t="n">
        <f aca="false">(IF(AC23=99999,0,AC23))+((IF(AF23=99999,0,AF23))/AE23)+AG23+(AJ23/AI23)+(IF(AK23=99999,0,AK23))</f>
        <v>1241.07475862442</v>
      </c>
      <c r="AM23" s="4" t="n">
        <f aca="false">AL23+AB23</f>
        <v>1281.07475862442</v>
      </c>
      <c r="AN23" s="8" t="s">
        <v>124</v>
      </c>
      <c r="AO23" s="8" t="s">
        <v>65</v>
      </c>
      <c r="AP23" s="24" t="e">
        <f aca="false">(IF((F23="Port to Port"),(IF(AND(AC23=99999,OR(AF23="",AF23=99999),AG23="",AJ23="",AK23=99999,#REF!="",#REF!="",#REF!="",#REF!="",#REF!="",#REF!="",AN23&lt;&gt;"",#REF!&lt;&gt;"",#REF!="",#REF!="",AO23&lt;&gt;"",#REF!&lt;&gt;"",#REF!="",#REF!="",#REF!="",#REF!=""),"No Bid",IF(AND(AC23=99999,OR(AF23&lt;&gt;"",AF23=99999),AG23&lt;&gt;"",AJ23&lt;&gt;"",AK23=99999,#REF!&lt;&gt;"",#REF!&lt;&gt;"",#REF!&lt;&gt;"",#REF!&lt;&gt;"",#REF!&lt;&gt;"",#REF!&lt;&gt;"",AN23&lt;&gt;"",#REF!&lt;&gt;"",#REF!="",#REF!="",AO23&lt;&gt;"",#REF!&lt;&gt;"",#REF!="",#REF!="",#REF!&lt;&gt;"",(IF((OR(#REF!="No Trans-Shipments",#REF!="")),(AND(#REF!="",#REF!="")),(IF(#REF!="1 Trans-Shipment",(AND(#REF!&lt;&gt;"",#REF!="")),(AND(#REF!&lt;&gt;"",#REF!&lt;&gt;"")))))),#REF!&lt;&gt;""),"Complete Bid","Incomplete Bid")))))</f>
        <v>#REF!</v>
      </c>
      <c r="AQ23" s="25" t="n">
        <f aca="false">(IF((F23="Door to Port"),(IF(AND(AC23="",AF23="",AG23="",AJ23="",AK23=99999,#REF!="",#REF!="",#REF!="",#REF!="",#REF!="",#REF!="",AN23="",#REF!="",#REF!="",#REF!="",AO23&lt;&gt;"",#REF!&lt;&gt;"",#REF!="",#REF!="",#REF!="",#REF!=""),"No Bid",IF(AND(AC23&lt;&gt;"",AF23&lt;&gt;"",AG23&lt;&gt;"",AJ23&lt;&gt;"",AK23=99999,#REF!&lt;&gt;"",#REF!&lt;&gt;"",#REF!&lt;&gt;"",#REF!&lt;&gt;"",#REF!&lt;&gt;"",#REF!&lt;&gt;"",AN23&lt;&gt;"",#REF!&lt;&gt;"",OR(#REF!="",#REF!&lt;&gt;""),#REF!&lt;&gt;"",AO23&lt;&gt;"",#REF!&lt;&gt;"",#REF!="",#REF!="",#REF!&lt;&gt;"",(IF((OR((#REF!="No Trans-Shipments"),(#REF!=""))),(AND(#REF!="",#REF!="")),(IF(#REF!="1 Trans-Shipment",(AND(#REF!&lt;&gt;"",#REF!="")),(AND(#REF!&lt;&gt;"",#REF!&lt;&gt;"")))))),#REF!&lt;&gt;""),"Complete Bid","Incomplete Bid")))))</f>
        <v>0</v>
      </c>
      <c r="AR23" s="25" t="n">
        <f aca="false">(IF((F23="Port to Door"),(IF(AND(AC23=99999,OR(AF23="",AF23=99999),AG23="",AJ23="",AK23="",#REF!="",#REF!="",#REF!="",#REF!="",#REF!="",#REF!="",AN23&lt;&gt;"",#REF!&lt;&gt;"",#REF!="",#REF!="",AO23="",#REF!="",#REF!="",#REF!="",#REF!="",#REF!=""),"No Bid",IF(AND(AC23=99999,OR(AF23&lt;&gt;"",AF23=99999),AG23&lt;&gt;"",AJ23&lt;&gt;"",AK23&lt;&gt;"",#REF!&lt;&gt;"",#REF!&lt;&gt;"",#REF!&lt;&gt;"",#REF!&lt;&gt;"",#REF!&lt;&gt;"",#REF!&lt;&gt;"",AN23&lt;&gt;"",#REF!&lt;&gt;"",#REF!="",#REF!="",AO23&lt;&gt;"",#REF!&lt;&gt;"",OR(#REF!&lt;&gt;"",#REF!=""),#REF!&lt;&gt;"",#REF!&lt;&gt;"",(IF((OR(#REF!="No Trans-Shipments",#REF!="")),(AND(#REF!="",#REF!="")),(IF(#REF!="1 Trans-Shipment",(AND(#REF!&lt;&gt;"",#REF!="")),(AND(#REF!&lt;&gt;"",#REF!&lt;&gt;"")))))),#REF!&lt;&gt;""),"Complete Bid","Incomplete Bid")))))</f>
        <v>0</v>
      </c>
      <c r="AS23" s="25" t="n">
        <f aca="false">(IF((F23="Door to Door"),(IF(AND(AC23="",AF23="",AG23="",AJ23="",AK23="",#REF!="",#REF!="",#REF!="",#REF!="",#REF!="",#REF!="",AN23="",#REF!="",#REF!="",#REF!="",AO23="",#REF!="",#REF!="",#REF!="",#REF!="",#REF!=""),"No Bid",IF(AND(AC23&lt;&gt;"",AF23&lt;&gt;"",AG23&lt;&gt;"",AJ23&lt;&gt;"",AK23&lt;&gt;"",#REF!&lt;&gt;"",#REF!&lt;&gt;"",#REF!&lt;&gt;"",#REF!&lt;&gt;"",#REF!&lt;&gt;"",#REF!&lt;&gt;"",AN23&lt;&gt;"",#REF!&lt;&gt;"",OR(#REF!&lt;&gt;"",#REF!=""),#REF!&lt;&gt;"",AO23&lt;&gt;"",#REF!&lt;&gt;"",OR(#REF!&lt;&gt;"",#REF!=""),#REF!&lt;&gt;"",#REF!&lt;&gt;"",(IF((OR(#REF!="No Trans-Shipments",#REF!="")),(AND(#REF!="",#REF!="")),(IF(#REF!="1 Trans-Shipment",(AND(#REF!&lt;&gt;"",#REF!="")),(AND(#REF!&lt;&gt;"",#REF!&lt;&gt;"")))))),#REF!&lt;&gt;""),"Complete Bid","Incomplete Bid")))))</f>
        <v>0</v>
      </c>
    </row>
    <row r="24" customFormat="false" ht="12.75" hidden="false" customHeight="true" outlineLevel="0" collapsed="false">
      <c r="A24" s="2" t="s">
        <v>56</v>
      </c>
      <c r="B24" s="23" t="s">
        <v>173</v>
      </c>
      <c r="C24" s="3" t="s">
        <v>58</v>
      </c>
      <c r="D24" s="3" t="s">
        <v>174</v>
      </c>
      <c r="E24" s="3" t="s">
        <v>120</v>
      </c>
      <c r="F24" s="3" t="s">
        <v>61</v>
      </c>
      <c r="G24" s="3" t="s">
        <v>146</v>
      </c>
      <c r="H24" s="3" t="s">
        <v>58</v>
      </c>
      <c r="I24" s="3" t="s">
        <v>123</v>
      </c>
      <c r="J24" s="3" t="s">
        <v>124</v>
      </c>
      <c r="K24" s="3" t="s">
        <v>58</v>
      </c>
      <c r="L24" s="3" t="s">
        <v>65</v>
      </c>
      <c r="M24" s="3" t="s">
        <v>65</v>
      </c>
      <c r="N24" s="3" t="s">
        <v>80</v>
      </c>
      <c r="O24" s="3" t="s">
        <v>67</v>
      </c>
      <c r="P24" s="3" t="s">
        <v>68</v>
      </c>
      <c r="Q24" s="3"/>
      <c r="R24" s="3" t="s">
        <v>126</v>
      </c>
      <c r="S24" s="3"/>
      <c r="T24" s="3" t="s">
        <v>70</v>
      </c>
      <c r="U24" s="3"/>
      <c r="V24" s="4" t="n">
        <v>382</v>
      </c>
      <c r="W24" s="4" t="s">
        <v>175</v>
      </c>
      <c r="X24" s="4" t="n">
        <v>14</v>
      </c>
      <c r="Y24" s="4" t="n">
        <v>7</v>
      </c>
      <c r="Z24" s="4" t="n">
        <v>14</v>
      </c>
      <c r="AA24" s="4" t="n">
        <v>7</v>
      </c>
      <c r="AB24" s="4" t="n">
        <v>80</v>
      </c>
      <c r="AC24" s="5" t="n">
        <v>99999</v>
      </c>
      <c r="AD24" s="3" t="s">
        <v>128</v>
      </c>
      <c r="AE24" s="6" t="n">
        <v>1177.1217125</v>
      </c>
      <c r="AF24" s="5" t="n">
        <v>89</v>
      </c>
      <c r="AG24" s="5" t="n">
        <v>1242</v>
      </c>
      <c r="AH24" s="3" t="s">
        <v>77</v>
      </c>
      <c r="AI24" s="6" t="n">
        <v>7.7922162083</v>
      </c>
      <c r="AJ24" s="7"/>
      <c r="AK24" s="5" t="n">
        <v>99999</v>
      </c>
      <c r="AL24" s="4" t="n">
        <f aca="false">(IF(AC24=99999,0,AC24))+((IF(AF24=99999,0,AF24))/AE24)+AG24+(AJ24/AI24)+(IF(AK24=99999,0,AK24))</f>
        <v>1242.07560815424</v>
      </c>
      <c r="AM24" s="4" t="n">
        <f aca="false">AL24+AB24</f>
        <v>1322.07560815424</v>
      </c>
      <c r="AN24" s="8" t="s">
        <v>124</v>
      </c>
      <c r="AO24" s="8" t="s">
        <v>65</v>
      </c>
      <c r="AP24" s="24" t="e">
        <f aca="false">(IF((F24="Port to Port"),(IF(AND(AC24=99999,OR(AF24="",AF24=99999),AG24="",AJ24="",AK24=99999,#REF!="",#REF!="",#REF!="",#REF!="",#REF!="",#REF!="",AN24&lt;&gt;"",#REF!&lt;&gt;"",#REF!="",#REF!="",AO24&lt;&gt;"",#REF!&lt;&gt;"",#REF!="",#REF!="",#REF!="",#REF!=""),"No Bid",IF(AND(AC24=99999,OR(AF24&lt;&gt;"",AF24=99999),AG24&lt;&gt;"",AJ24&lt;&gt;"",AK24=99999,#REF!&lt;&gt;"",#REF!&lt;&gt;"",#REF!&lt;&gt;"",#REF!&lt;&gt;"",#REF!&lt;&gt;"",#REF!&lt;&gt;"",AN24&lt;&gt;"",#REF!&lt;&gt;"",#REF!="",#REF!="",AO24&lt;&gt;"",#REF!&lt;&gt;"",#REF!="",#REF!="",#REF!&lt;&gt;"",(IF((OR(#REF!="No Trans-Shipments",#REF!="")),(AND(#REF!="",#REF!="")),(IF(#REF!="1 Trans-Shipment",(AND(#REF!&lt;&gt;"",#REF!="")),(AND(#REF!&lt;&gt;"",#REF!&lt;&gt;"")))))),#REF!&lt;&gt;""),"Complete Bid","Incomplete Bid")))))</f>
        <v>#REF!</v>
      </c>
      <c r="AQ24" s="25" t="n">
        <f aca="false">(IF((F24="Door to Port"),(IF(AND(AC24="",AF24="",AG24="",AJ24="",AK24=99999,#REF!="",#REF!="",#REF!="",#REF!="",#REF!="",#REF!="",AN24="",#REF!="",#REF!="",#REF!="",AO24&lt;&gt;"",#REF!&lt;&gt;"",#REF!="",#REF!="",#REF!="",#REF!=""),"No Bid",IF(AND(AC24&lt;&gt;"",AF24&lt;&gt;"",AG24&lt;&gt;"",AJ24&lt;&gt;"",AK24=99999,#REF!&lt;&gt;"",#REF!&lt;&gt;"",#REF!&lt;&gt;"",#REF!&lt;&gt;"",#REF!&lt;&gt;"",#REF!&lt;&gt;"",AN24&lt;&gt;"",#REF!&lt;&gt;"",OR(#REF!="",#REF!&lt;&gt;""),#REF!&lt;&gt;"",AO24&lt;&gt;"",#REF!&lt;&gt;"",#REF!="",#REF!="",#REF!&lt;&gt;"",(IF((OR((#REF!="No Trans-Shipments"),(#REF!=""))),(AND(#REF!="",#REF!="")),(IF(#REF!="1 Trans-Shipment",(AND(#REF!&lt;&gt;"",#REF!="")),(AND(#REF!&lt;&gt;"",#REF!&lt;&gt;"")))))),#REF!&lt;&gt;""),"Complete Bid","Incomplete Bid")))))</f>
        <v>0</v>
      </c>
      <c r="AR24" s="25" t="n">
        <f aca="false">(IF((F24="Port to Door"),(IF(AND(AC24=99999,OR(AF24="",AF24=99999),AG24="",AJ24="",AK24="",#REF!="",#REF!="",#REF!="",#REF!="",#REF!="",#REF!="",AN24&lt;&gt;"",#REF!&lt;&gt;"",#REF!="",#REF!="",AO24="",#REF!="",#REF!="",#REF!="",#REF!="",#REF!=""),"No Bid",IF(AND(AC24=99999,OR(AF24&lt;&gt;"",AF24=99999),AG24&lt;&gt;"",AJ24&lt;&gt;"",AK24&lt;&gt;"",#REF!&lt;&gt;"",#REF!&lt;&gt;"",#REF!&lt;&gt;"",#REF!&lt;&gt;"",#REF!&lt;&gt;"",#REF!&lt;&gt;"",AN24&lt;&gt;"",#REF!&lt;&gt;"",#REF!="",#REF!="",AO24&lt;&gt;"",#REF!&lt;&gt;"",OR(#REF!&lt;&gt;"",#REF!=""),#REF!&lt;&gt;"",#REF!&lt;&gt;"",(IF((OR(#REF!="No Trans-Shipments",#REF!="")),(AND(#REF!="",#REF!="")),(IF(#REF!="1 Trans-Shipment",(AND(#REF!&lt;&gt;"",#REF!="")),(AND(#REF!&lt;&gt;"",#REF!&lt;&gt;"")))))),#REF!&lt;&gt;""),"Complete Bid","Incomplete Bid")))))</f>
        <v>0</v>
      </c>
      <c r="AS24" s="25" t="n">
        <f aca="false">(IF((F24="Door to Door"),(IF(AND(AC24="",AF24="",AG24="",AJ24="",AK24="",#REF!="",#REF!="",#REF!="",#REF!="",#REF!="",#REF!="",AN24="",#REF!="",#REF!="",#REF!="",AO24="",#REF!="",#REF!="",#REF!="",#REF!="",#REF!=""),"No Bid",IF(AND(AC24&lt;&gt;"",AF24&lt;&gt;"",AG24&lt;&gt;"",AJ24&lt;&gt;"",AK24&lt;&gt;"",#REF!&lt;&gt;"",#REF!&lt;&gt;"",#REF!&lt;&gt;"",#REF!&lt;&gt;"",#REF!&lt;&gt;"",#REF!&lt;&gt;"",AN24&lt;&gt;"",#REF!&lt;&gt;"",OR(#REF!&lt;&gt;"",#REF!=""),#REF!&lt;&gt;"",AO24&lt;&gt;"",#REF!&lt;&gt;"",OR(#REF!&lt;&gt;"",#REF!=""),#REF!&lt;&gt;"",#REF!&lt;&gt;"",(IF((OR(#REF!="No Trans-Shipments",#REF!="")),(AND(#REF!="",#REF!="")),(IF(#REF!="1 Trans-Shipment",(AND(#REF!&lt;&gt;"",#REF!="")),(AND(#REF!&lt;&gt;"",#REF!&lt;&gt;"")))))),#REF!&lt;&gt;""),"Complete Bid","Incomplete Bid")))))</f>
        <v>0</v>
      </c>
    </row>
    <row r="25" customFormat="false" ht="12.75" hidden="false" customHeight="true" outlineLevel="0" collapsed="false">
      <c r="A25" s="2" t="s">
        <v>56</v>
      </c>
      <c r="B25" s="23" t="s">
        <v>176</v>
      </c>
      <c r="C25" s="3" t="s">
        <v>58</v>
      </c>
      <c r="D25" s="3" t="s">
        <v>177</v>
      </c>
      <c r="E25" s="3" t="s">
        <v>120</v>
      </c>
      <c r="F25" s="3" t="s">
        <v>61</v>
      </c>
      <c r="G25" s="3" t="s">
        <v>178</v>
      </c>
      <c r="H25" s="3" t="s">
        <v>58</v>
      </c>
      <c r="I25" s="3" t="s">
        <v>123</v>
      </c>
      <c r="J25" s="3" t="s">
        <v>124</v>
      </c>
      <c r="K25" s="3" t="s">
        <v>58</v>
      </c>
      <c r="L25" s="3" t="s">
        <v>179</v>
      </c>
      <c r="M25" s="3" t="s">
        <v>180</v>
      </c>
      <c r="N25" s="3" t="s">
        <v>66</v>
      </c>
      <c r="O25" s="3"/>
      <c r="P25" s="3" t="s">
        <v>68</v>
      </c>
      <c r="Q25" s="3"/>
      <c r="R25" s="3" t="s">
        <v>126</v>
      </c>
      <c r="S25" s="3"/>
      <c r="T25" s="3" t="s">
        <v>181</v>
      </c>
      <c r="U25" s="3"/>
      <c r="V25" s="4" t="n">
        <v>3</v>
      </c>
      <c r="W25" s="4"/>
      <c r="X25" s="4" t="n">
        <v>14</v>
      </c>
      <c r="Y25" s="4" t="n">
        <v>7</v>
      </c>
      <c r="Z25" s="4" t="n">
        <v>14</v>
      </c>
      <c r="AA25" s="4" t="n">
        <v>7</v>
      </c>
      <c r="AB25" s="4" t="n">
        <v>40</v>
      </c>
      <c r="AC25" s="5" t="n">
        <v>99999</v>
      </c>
      <c r="AD25" s="3" t="s">
        <v>128</v>
      </c>
      <c r="AE25" s="6" t="n">
        <v>1177.1217125</v>
      </c>
      <c r="AF25" s="5" t="n">
        <v>90</v>
      </c>
      <c r="AG25" s="5" t="n">
        <v>1243</v>
      </c>
      <c r="AH25" s="3" t="s">
        <v>182</v>
      </c>
      <c r="AI25" s="6" t="n">
        <v>6.4657737917</v>
      </c>
      <c r="AJ25" s="7"/>
      <c r="AK25" s="5" t="n">
        <v>99999</v>
      </c>
      <c r="AL25" s="4" t="n">
        <f aca="false">(IF(AC25=99999,0,AC25))+((IF(AF25=99999,0,AF25))/AE25)+AG25+(AJ25/AI25)+(IF(AK25=99999,0,AK25))</f>
        <v>1243.07645768406</v>
      </c>
      <c r="AM25" s="4" t="n">
        <f aca="false">AL25+AB25</f>
        <v>1283.07645768406</v>
      </c>
      <c r="AN25" s="8" t="s">
        <v>124</v>
      </c>
      <c r="AO25" s="8" t="s">
        <v>180</v>
      </c>
      <c r="AP25" s="24" t="e">
        <f aca="false">(IF((F25="Port to Port"),(IF(AND(AC25=99999,OR(AF25="",AF25=99999),AG25="",AJ25="",AK25=99999,#REF!="",#REF!="",#REF!="",#REF!="",#REF!="",#REF!="",AN25&lt;&gt;"",#REF!&lt;&gt;"",#REF!="",#REF!="",AO25&lt;&gt;"",#REF!&lt;&gt;"",#REF!="",#REF!="",#REF!="",#REF!=""),"No Bid",IF(AND(AC25=99999,OR(AF25&lt;&gt;"",AF25=99999),AG25&lt;&gt;"",AJ25&lt;&gt;"",AK25=99999,#REF!&lt;&gt;"",#REF!&lt;&gt;"",#REF!&lt;&gt;"",#REF!&lt;&gt;"",#REF!&lt;&gt;"",#REF!&lt;&gt;"",AN25&lt;&gt;"",#REF!&lt;&gt;"",#REF!="",#REF!="",AO25&lt;&gt;"",#REF!&lt;&gt;"",#REF!="",#REF!="",#REF!&lt;&gt;"",(IF((OR(#REF!="No Trans-Shipments",#REF!="")),(AND(#REF!="",#REF!="")),(IF(#REF!="1 Trans-Shipment",(AND(#REF!&lt;&gt;"",#REF!="")),(AND(#REF!&lt;&gt;"",#REF!&lt;&gt;"")))))),#REF!&lt;&gt;""),"Complete Bid","Incomplete Bid")))))</f>
        <v>#REF!</v>
      </c>
      <c r="AQ25" s="25" t="n">
        <f aca="false">(IF((F25="Door to Port"),(IF(AND(AC25="",AF25="",AG25="",AJ25="",AK25=99999,#REF!="",#REF!="",#REF!="",#REF!="",#REF!="",#REF!="",AN25="",#REF!="",#REF!="",#REF!="",AO25&lt;&gt;"",#REF!&lt;&gt;"",#REF!="",#REF!="",#REF!="",#REF!=""),"No Bid",IF(AND(AC25&lt;&gt;"",AF25&lt;&gt;"",AG25&lt;&gt;"",AJ25&lt;&gt;"",AK25=99999,#REF!&lt;&gt;"",#REF!&lt;&gt;"",#REF!&lt;&gt;"",#REF!&lt;&gt;"",#REF!&lt;&gt;"",#REF!&lt;&gt;"",AN25&lt;&gt;"",#REF!&lt;&gt;"",OR(#REF!="",#REF!&lt;&gt;""),#REF!&lt;&gt;"",AO25&lt;&gt;"",#REF!&lt;&gt;"",#REF!="",#REF!="",#REF!&lt;&gt;"",(IF((OR((#REF!="No Trans-Shipments"),(#REF!=""))),(AND(#REF!="",#REF!="")),(IF(#REF!="1 Trans-Shipment",(AND(#REF!&lt;&gt;"",#REF!="")),(AND(#REF!&lt;&gt;"",#REF!&lt;&gt;"")))))),#REF!&lt;&gt;""),"Complete Bid","Incomplete Bid")))))</f>
        <v>0</v>
      </c>
      <c r="AR25" s="25" t="n">
        <f aca="false">(IF((F25="Port to Door"),(IF(AND(AC25=99999,OR(AF25="",AF25=99999),AG25="",AJ25="",AK25="",#REF!="",#REF!="",#REF!="",#REF!="",#REF!="",#REF!="",AN25&lt;&gt;"",#REF!&lt;&gt;"",#REF!="",#REF!="",AO25="",#REF!="",#REF!="",#REF!="",#REF!="",#REF!=""),"No Bid",IF(AND(AC25=99999,OR(AF25&lt;&gt;"",AF25=99999),AG25&lt;&gt;"",AJ25&lt;&gt;"",AK25&lt;&gt;"",#REF!&lt;&gt;"",#REF!&lt;&gt;"",#REF!&lt;&gt;"",#REF!&lt;&gt;"",#REF!&lt;&gt;"",#REF!&lt;&gt;"",AN25&lt;&gt;"",#REF!&lt;&gt;"",#REF!="",#REF!="",AO25&lt;&gt;"",#REF!&lt;&gt;"",OR(#REF!&lt;&gt;"",#REF!=""),#REF!&lt;&gt;"",#REF!&lt;&gt;"",(IF((OR(#REF!="No Trans-Shipments",#REF!="")),(AND(#REF!="",#REF!="")),(IF(#REF!="1 Trans-Shipment",(AND(#REF!&lt;&gt;"",#REF!="")),(AND(#REF!&lt;&gt;"",#REF!&lt;&gt;"")))))),#REF!&lt;&gt;""),"Complete Bid","Incomplete Bid")))))</f>
        <v>0</v>
      </c>
      <c r="AS25" s="25" t="n">
        <f aca="false">(IF((F25="Door to Door"),(IF(AND(AC25="",AF25="",AG25="",AJ25="",AK25="",#REF!="",#REF!="",#REF!="",#REF!="",#REF!="",#REF!="",AN25="",#REF!="",#REF!="",#REF!="",AO25="",#REF!="",#REF!="",#REF!="",#REF!="",#REF!=""),"No Bid",IF(AND(AC25&lt;&gt;"",AF25&lt;&gt;"",AG25&lt;&gt;"",AJ25&lt;&gt;"",AK25&lt;&gt;"",#REF!&lt;&gt;"",#REF!&lt;&gt;"",#REF!&lt;&gt;"",#REF!&lt;&gt;"",#REF!&lt;&gt;"",#REF!&lt;&gt;"",AN25&lt;&gt;"",#REF!&lt;&gt;"",OR(#REF!&lt;&gt;"",#REF!=""),#REF!&lt;&gt;"",AO25&lt;&gt;"",#REF!&lt;&gt;"",OR(#REF!&lt;&gt;"",#REF!=""),#REF!&lt;&gt;"",#REF!&lt;&gt;"",(IF((OR(#REF!="No Trans-Shipments",#REF!="")),(AND(#REF!="",#REF!="")),(IF(#REF!="1 Trans-Shipment",(AND(#REF!&lt;&gt;"",#REF!="")),(AND(#REF!&lt;&gt;"",#REF!&lt;&gt;"")))))),#REF!&lt;&gt;""),"Complete Bid","Incomplete Bid")))))</f>
        <v>0</v>
      </c>
    </row>
    <row r="26" customFormat="false" ht="12.75" hidden="false" customHeight="true" outlineLevel="0" collapsed="false">
      <c r="A26" s="2" t="s">
        <v>56</v>
      </c>
      <c r="B26" s="23" t="s">
        <v>183</v>
      </c>
      <c r="C26" s="3" t="s">
        <v>58</v>
      </c>
      <c r="D26" s="3" t="s">
        <v>184</v>
      </c>
      <c r="E26" s="3" t="s">
        <v>120</v>
      </c>
      <c r="F26" s="3" t="s">
        <v>61</v>
      </c>
      <c r="G26" s="3" t="s">
        <v>178</v>
      </c>
      <c r="H26" s="3" t="s">
        <v>58</v>
      </c>
      <c r="I26" s="3" t="s">
        <v>123</v>
      </c>
      <c r="J26" s="3" t="s">
        <v>124</v>
      </c>
      <c r="K26" s="3" t="s">
        <v>58</v>
      </c>
      <c r="L26" s="3" t="s">
        <v>179</v>
      </c>
      <c r="M26" s="3" t="s">
        <v>180</v>
      </c>
      <c r="N26" s="3" t="s">
        <v>80</v>
      </c>
      <c r="O26" s="3"/>
      <c r="P26" s="3" t="s">
        <v>68</v>
      </c>
      <c r="Q26" s="3"/>
      <c r="R26" s="3" t="s">
        <v>126</v>
      </c>
      <c r="S26" s="3"/>
      <c r="T26" s="3" t="s">
        <v>181</v>
      </c>
      <c r="U26" s="3"/>
      <c r="V26" s="4" t="n">
        <v>6</v>
      </c>
      <c r="W26" s="4" t="s">
        <v>185</v>
      </c>
      <c r="X26" s="4" t="n">
        <v>14</v>
      </c>
      <c r="Y26" s="4" t="n">
        <v>7</v>
      </c>
      <c r="Z26" s="4" t="n">
        <v>14</v>
      </c>
      <c r="AA26" s="4" t="n">
        <v>7</v>
      </c>
      <c r="AB26" s="4" t="n">
        <v>80</v>
      </c>
      <c r="AC26" s="5" t="n">
        <v>99999</v>
      </c>
      <c r="AD26" s="3" t="s">
        <v>128</v>
      </c>
      <c r="AE26" s="6" t="n">
        <v>1177.1217125</v>
      </c>
      <c r="AF26" s="5" t="n">
        <v>91</v>
      </c>
      <c r="AG26" s="5" t="n">
        <v>1244</v>
      </c>
      <c r="AH26" s="3" t="s">
        <v>182</v>
      </c>
      <c r="AI26" s="6" t="n">
        <v>6.4657737917</v>
      </c>
      <c r="AJ26" s="7"/>
      <c r="AK26" s="5" t="n">
        <v>99999</v>
      </c>
      <c r="AL26" s="4" t="n">
        <f aca="false">(IF(AC26=99999,0,AC26))+((IF(AF26=99999,0,AF26))/AE26)+AG26+(AJ26/AI26)+(IF(AK26=99999,0,AK26))</f>
        <v>1244.07730721389</v>
      </c>
      <c r="AM26" s="4" t="n">
        <f aca="false">AL26+AB26</f>
        <v>1324.07730721389</v>
      </c>
      <c r="AN26" s="8" t="s">
        <v>124</v>
      </c>
      <c r="AO26" s="8" t="s">
        <v>180</v>
      </c>
      <c r="AP26" s="24" t="e">
        <f aca="false">(IF((F26="Port to Port"),(IF(AND(AC26=99999,OR(AF26="",AF26=99999),AG26="",AJ26="",AK26=99999,#REF!="",#REF!="",#REF!="",#REF!="",#REF!="",#REF!="",AN26&lt;&gt;"",#REF!&lt;&gt;"",#REF!="",#REF!="",AO26&lt;&gt;"",#REF!&lt;&gt;"",#REF!="",#REF!="",#REF!="",#REF!=""),"No Bid",IF(AND(AC26=99999,OR(AF26&lt;&gt;"",AF26=99999),AG26&lt;&gt;"",AJ26&lt;&gt;"",AK26=99999,#REF!&lt;&gt;"",#REF!&lt;&gt;"",#REF!&lt;&gt;"",#REF!&lt;&gt;"",#REF!&lt;&gt;"",#REF!&lt;&gt;"",AN26&lt;&gt;"",#REF!&lt;&gt;"",#REF!="",#REF!="",AO26&lt;&gt;"",#REF!&lt;&gt;"",#REF!="",#REF!="",#REF!&lt;&gt;"",(IF((OR(#REF!="No Trans-Shipments",#REF!="")),(AND(#REF!="",#REF!="")),(IF(#REF!="1 Trans-Shipment",(AND(#REF!&lt;&gt;"",#REF!="")),(AND(#REF!&lt;&gt;"",#REF!&lt;&gt;"")))))),#REF!&lt;&gt;""),"Complete Bid","Incomplete Bid")))))</f>
        <v>#REF!</v>
      </c>
      <c r="AQ26" s="25" t="n">
        <f aca="false">(IF((F26="Door to Port"),(IF(AND(AC26="",AF26="",AG26="",AJ26="",AK26=99999,#REF!="",#REF!="",#REF!="",#REF!="",#REF!="",#REF!="",AN26="",#REF!="",#REF!="",#REF!="",AO26&lt;&gt;"",#REF!&lt;&gt;"",#REF!="",#REF!="",#REF!="",#REF!=""),"No Bid",IF(AND(AC26&lt;&gt;"",AF26&lt;&gt;"",AG26&lt;&gt;"",AJ26&lt;&gt;"",AK26=99999,#REF!&lt;&gt;"",#REF!&lt;&gt;"",#REF!&lt;&gt;"",#REF!&lt;&gt;"",#REF!&lt;&gt;"",#REF!&lt;&gt;"",AN26&lt;&gt;"",#REF!&lt;&gt;"",OR(#REF!="",#REF!&lt;&gt;""),#REF!&lt;&gt;"",AO26&lt;&gt;"",#REF!&lt;&gt;"",#REF!="",#REF!="",#REF!&lt;&gt;"",(IF((OR((#REF!="No Trans-Shipments"),(#REF!=""))),(AND(#REF!="",#REF!="")),(IF(#REF!="1 Trans-Shipment",(AND(#REF!&lt;&gt;"",#REF!="")),(AND(#REF!&lt;&gt;"",#REF!&lt;&gt;"")))))),#REF!&lt;&gt;""),"Complete Bid","Incomplete Bid")))))</f>
        <v>0</v>
      </c>
      <c r="AR26" s="25" t="n">
        <f aca="false">(IF((F26="Port to Door"),(IF(AND(AC26=99999,OR(AF26="",AF26=99999),AG26="",AJ26="",AK26="",#REF!="",#REF!="",#REF!="",#REF!="",#REF!="",#REF!="",AN26&lt;&gt;"",#REF!&lt;&gt;"",#REF!="",#REF!="",AO26="",#REF!="",#REF!="",#REF!="",#REF!="",#REF!=""),"No Bid",IF(AND(AC26=99999,OR(AF26&lt;&gt;"",AF26=99999),AG26&lt;&gt;"",AJ26&lt;&gt;"",AK26&lt;&gt;"",#REF!&lt;&gt;"",#REF!&lt;&gt;"",#REF!&lt;&gt;"",#REF!&lt;&gt;"",#REF!&lt;&gt;"",#REF!&lt;&gt;"",AN26&lt;&gt;"",#REF!&lt;&gt;"",#REF!="",#REF!="",AO26&lt;&gt;"",#REF!&lt;&gt;"",OR(#REF!&lt;&gt;"",#REF!=""),#REF!&lt;&gt;"",#REF!&lt;&gt;"",(IF((OR(#REF!="No Trans-Shipments",#REF!="")),(AND(#REF!="",#REF!="")),(IF(#REF!="1 Trans-Shipment",(AND(#REF!&lt;&gt;"",#REF!="")),(AND(#REF!&lt;&gt;"",#REF!&lt;&gt;"")))))),#REF!&lt;&gt;""),"Complete Bid","Incomplete Bid")))))</f>
        <v>0</v>
      </c>
      <c r="AS26" s="25" t="n">
        <f aca="false">(IF((F26="Door to Door"),(IF(AND(AC26="",AF26="",AG26="",AJ26="",AK26="",#REF!="",#REF!="",#REF!="",#REF!="",#REF!="",#REF!="",AN26="",#REF!="",#REF!="",#REF!="",AO26="",#REF!="",#REF!="",#REF!="",#REF!="",#REF!=""),"No Bid",IF(AND(AC26&lt;&gt;"",AF26&lt;&gt;"",AG26&lt;&gt;"",AJ26&lt;&gt;"",AK26&lt;&gt;"",#REF!&lt;&gt;"",#REF!&lt;&gt;"",#REF!&lt;&gt;"",#REF!&lt;&gt;"",#REF!&lt;&gt;"",#REF!&lt;&gt;"",AN26&lt;&gt;"",#REF!&lt;&gt;"",OR(#REF!&lt;&gt;"",#REF!=""),#REF!&lt;&gt;"",AO26&lt;&gt;"",#REF!&lt;&gt;"",OR(#REF!&lt;&gt;"",#REF!=""),#REF!&lt;&gt;"",#REF!&lt;&gt;"",(IF((OR(#REF!="No Trans-Shipments",#REF!="")),(AND(#REF!="",#REF!="")),(IF(#REF!="1 Trans-Shipment",(AND(#REF!&lt;&gt;"",#REF!="")),(AND(#REF!&lt;&gt;"",#REF!&lt;&gt;"")))))),#REF!&lt;&gt;""),"Complete Bid","Incomplete Bid")))))</f>
        <v>0</v>
      </c>
    </row>
    <row r="27" customFormat="false" ht="12.75" hidden="false" customHeight="true" outlineLevel="0" collapsed="false">
      <c r="A27" s="2" t="s">
        <v>56</v>
      </c>
      <c r="B27" s="23" t="s">
        <v>186</v>
      </c>
      <c r="C27" s="3" t="s">
        <v>58</v>
      </c>
      <c r="D27" s="3" t="s">
        <v>187</v>
      </c>
      <c r="E27" s="3" t="s">
        <v>120</v>
      </c>
      <c r="F27" s="3" t="s">
        <v>61</v>
      </c>
      <c r="G27" s="3" t="s">
        <v>178</v>
      </c>
      <c r="H27" s="3" t="s">
        <v>58</v>
      </c>
      <c r="I27" s="3" t="s">
        <v>123</v>
      </c>
      <c r="J27" s="3" t="s">
        <v>124</v>
      </c>
      <c r="K27" s="3" t="s">
        <v>58</v>
      </c>
      <c r="L27" s="3" t="s">
        <v>188</v>
      </c>
      <c r="M27" s="3" t="s">
        <v>189</v>
      </c>
      <c r="N27" s="3" t="s">
        <v>66</v>
      </c>
      <c r="O27" s="3"/>
      <c r="P27" s="3" t="s">
        <v>68</v>
      </c>
      <c r="Q27" s="3"/>
      <c r="R27" s="3" t="s">
        <v>126</v>
      </c>
      <c r="S27" s="3"/>
      <c r="T27" s="3" t="s">
        <v>190</v>
      </c>
      <c r="U27" s="3"/>
      <c r="V27" s="4" t="n">
        <v>1</v>
      </c>
      <c r="W27" s="4"/>
      <c r="X27" s="4" t="n">
        <v>14</v>
      </c>
      <c r="Y27" s="4" t="n">
        <v>7</v>
      </c>
      <c r="Z27" s="4" t="n">
        <v>10</v>
      </c>
      <c r="AA27" s="4" t="n">
        <v>4</v>
      </c>
      <c r="AB27" s="4" t="n">
        <v>40</v>
      </c>
      <c r="AC27" s="5" t="n">
        <v>99999</v>
      </c>
      <c r="AD27" s="3" t="s">
        <v>128</v>
      </c>
      <c r="AE27" s="6" t="n">
        <v>1177.1217125</v>
      </c>
      <c r="AF27" s="5" t="n">
        <v>92</v>
      </c>
      <c r="AG27" s="5" t="n">
        <v>1245</v>
      </c>
      <c r="AH27" s="3" t="s">
        <v>191</v>
      </c>
      <c r="AI27" s="6" t="n">
        <v>112.6968791667</v>
      </c>
      <c r="AJ27" s="7"/>
      <c r="AK27" s="5" t="n">
        <v>99999</v>
      </c>
      <c r="AL27" s="4" t="n">
        <f aca="false">(IF(AC27=99999,0,AC27))+((IF(AF27=99999,0,AF27))/AE27)+AG27+(AJ27/AI27)+(IF(AK27=99999,0,AK27))</f>
        <v>1245.07815674371</v>
      </c>
      <c r="AM27" s="4" t="n">
        <f aca="false">AL27+AB27</f>
        <v>1285.07815674371</v>
      </c>
      <c r="AN27" s="8" t="s">
        <v>124</v>
      </c>
      <c r="AO27" s="8" t="s">
        <v>189</v>
      </c>
      <c r="AP27" s="24" t="e">
        <f aca="false">(IF((F27="Port to Port"),(IF(AND(AC27=99999,OR(AF27="",AF27=99999),AG27="",AJ27="",AK27=99999,#REF!="",#REF!="",#REF!="",#REF!="",#REF!="",#REF!="",AN27&lt;&gt;"",#REF!&lt;&gt;"",#REF!="",#REF!="",AO27&lt;&gt;"",#REF!&lt;&gt;"",#REF!="",#REF!="",#REF!="",#REF!=""),"No Bid",IF(AND(AC27=99999,OR(AF27&lt;&gt;"",AF27=99999),AG27&lt;&gt;"",AJ27&lt;&gt;"",AK27=99999,#REF!&lt;&gt;"",#REF!&lt;&gt;"",#REF!&lt;&gt;"",#REF!&lt;&gt;"",#REF!&lt;&gt;"",#REF!&lt;&gt;"",AN27&lt;&gt;"",#REF!&lt;&gt;"",#REF!="",#REF!="",AO27&lt;&gt;"",#REF!&lt;&gt;"",#REF!="",#REF!="",#REF!&lt;&gt;"",(IF((OR(#REF!="No Trans-Shipments",#REF!="")),(AND(#REF!="",#REF!="")),(IF(#REF!="1 Trans-Shipment",(AND(#REF!&lt;&gt;"",#REF!="")),(AND(#REF!&lt;&gt;"",#REF!&lt;&gt;"")))))),#REF!&lt;&gt;""),"Complete Bid","Incomplete Bid")))))</f>
        <v>#REF!</v>
      </c>
      <c r="AQ27" s="25" t="n">
        <f aca="false">(IF((F27="Door to Port"),(IF(AND(AC27="",AF27="",AG27="",AJ27="",AK27=99999,#REF!="",#REF!="",#REF!="",#REF!="",#REF!="",#REF!="",AN27="",#REF!="",#REF!="",#REF!="",AO27&lt;&gt;"",#REF!&lt;&gt;"",#REF!="",#REF!="",#REF!="",#REF!=""),"No Bid",IF(AND(AC27&lt;&gt;"",AF27&lt;&gt;"",AG27&lt;&gt;"",AJ27&lt;&gt;"",AK27=99999,#REF!&lt;&gt;"",#REF!&lt;&gt;"",#REF!&lt;&gt;"",#REF!&lt;&gt;"",#REF!&lt;&gt;"",#REF!&lt;&gt;"",AN27&lt;&gt;"",#REF!&lt;&gt;"",OR(#REF!="",#REF!&lt;&gt;""),#REF!&lt;&gt;"",AO27&lt;&gt;"",#REF!&lt;&gt;"",#REF!="",#REF!="",#REF!&lt;&gt;"",(IF((OR((#REF!="No Trans-Shipments"),(#REF!=""))),(AND(#REF!="",#REF!="")),(IF(#REF!="1 Trans-Shipment",(AND(#REF!&lt;&gt;"",#REF!="")),(AND(#REF!&lt;&gt;"",#REF!&lt;&gt;"")))))),#REF!&lt;&gt;""),"Complete Bid","Incomplete Bid")))))</f>
        <v>0</v>
      </c>
      <c r="AR27" s="25" t="n">
        <f aca="false">(IF((F27="Port to Door"),(IF(AND(AC27=99999,OR(AF27="",AF27=99999),AG27="",AJ27="",AK27="",#REF!="",#REF!="",#REF!="",#REF!="",#REF!="",#REF!="",AN27&lt;&gt;"",#REF!&lt;&gt;"",#REF!="",#REF!="",AO27="",#REF!="",#REF!="",#REF!="",#REF!="",#REF!=""),"No Bid",IF(AND(AC27=99999,OR(AF27&lt;&gt;"",AF27=99999),AG27&lt;&gt;"",AJ27&lt;&gt;"",AK27&lt;&gt;"",#REF!&lt;&gt;"",#REF!&lt;&gt;"",#REF!&lt;&gt;"",#REF!&lt;&gt;"",#REF!&lt;&gt;"",#REF!&lt;&gt;"",AN27&lt;&gt;"",#REF!&lt;&gt;"",#REF!="",#REF!="",AO27&lt;&gt;"",#REF!&lt;&gt;"",OR(#REF!&lt;&gt;"",#REF!=""),#REF!&lt;&gt;"",#REF!&lt;&gt;"",(IF((OR(#REF!="No Trans-Shipments",#REF!="")),(AND(#REF!="",#REF!="")),(IF(#REF!="1 Trans-Shipment",(AND(#REF!&lt;&gt;"",#REF!="")),(AND(#REF!&lt;&gt;"",#REF!&lt;&gt;"")))))),#REF!&lt;&gt;""),"Complete Bid","Incomplete Bid")))))</f>
        <v>0</v>
      </c>
      <c r="AS27" s="25" t="n">
        <f aca="false">(IF((F27="Door to Door"),(IF(AND(AC27="",AF27="",AG27="",AJ27="",AK27="",#REF!="",#REF!="",#REF!="",#REF!="",#REF!="",#REF!="",AN27="",#REF!="",#REF!="",#REF!="",AO27="",#REF!="",#REF!="",#REF!="",#REF!="",#REF!=""),"No Bid",IF(AND(AC27&lt;&gt;"",AF27&lt;&gt;"",AG27&lt;&gt;"",AJ27&lt;&gt;"",AK27&lt;&gt;"",#REF!&lt;&gt;"",#REF!&lt;&gt;"",#REF!&lt;&gt;"",#REF!&lt;&gt;"",#REF!&lt;&gt;"",#REF!&lt;&gt;"",AN27&lt;&gt;"",#REF!&lt;&gt;"",OR(#REF!&lt;&gt;"",#REF!=""),#REF!&lt;&gt;"",AO27&lt;&gt;"",#REF!&lt;&gt;"",OR(#REF!&lt;&gt;"",#REF!=""),#REF!&lt;&gt;"",#REF!&lt;&gt;"",(IF((OR(#REF!="No Trans-Shipments",#REF!="")),(AND(#REF!="",#REF!="")),(IF(#REF!="1 Trans-Shipment",(AND(#REF!&lt;&gt;"",#REF!="")),(AND(#REF!&lt;&gt;"",#REF!&lt;&gt;"")))))),#REF!&lt;&gt;""),"Complete Bid","Incomplete Bid")))))</f>
        <v>0</v>
      </c>
    </row>
    <row r="28" customFormat="false" ht="12.75" hidden="false" customHeight="true" outlineLevel="0" collapsed="false">
      <c r="A28" s="2" t="s">
        <v>56</v>
      </c>
      <c r="B28" s="23" t="s">
        <v>192</v>
      </c>
      <c r="C28" s="3" t="s">
        <v>58</v>
      </c>
      <c r="D28" s="3" t="s">
        <v>193</v>
      </c>
      <c r="E28" s="3" t="s">
        <v>120</v>
      </c>
      <c r="F28" s="3" t="s">
        <v>61</v>
      </c>
      <c r="G28" s="3" t="s">
        <v>178</v>
      </c>
      <c r="H28" s="3" t="s">
        <v>58</v>
      </c>
      <c r="I28" s="3" t="s">
        <v>123</v>
      </c>
      <c r="J28" s="3" t="s">
        <v>124</v>
      </c>
      <c r="K28" s="3" t="s">
        <v>58</v>
      </c>
      <c r="L28" s="3" t="s">
        <v>188</v>
      </c>
      <c r="M28" s="3" t="s">
        <v>189</v>
      </c>
      <c r="N28" s="3" t="s">
        <v>80</v>
      </c>
      <c r="O28" s="3"/>
      <c r="P28" s="3" t="s">
        <v>68</v>
      </c>
      <c r="Q28" s="3"/>
      <c r="R28" s="3" t="s">
        <v>126</v>
      </c>
      <c r="S28" s="3"/>
      <c r="T28" s="3" t="s">
        <v>190</v>
      </c>
      <c r="U28" s="3"/>
      <c r="V28" s="4" t="n">
        <v>12</v>
      </c>
      <c r="W28" s="4" t="s">
        <v>194</v>
      </c>
      <c r="X28" s="4" t="n">
        <v>14</v>
      </c>
      <c r="Y28" s="4" t="n">
        <v>7</v>
      </c>
      <c r="Z28" s="4" t="n">
        <v>10</v>
      </c>
      <c r="AA28" s="4" t="n">
        <v>4</v>
      </c>
      <c r="AB28" s="4" t="n">
        <v>80</v>
      </c>
      <c r="AC28" s="5" t="n">
        <v>99999</v>
      </c>
      <c r="AD28" s="3" t="s">
        <v>128</v>
      </c>
      <c r="AE28" s="6" t="n">
        <v>1177.1217125</v>
      </c>
      <c r="AF28" s="5" t="n">
        <v>93</v>
      </c>
      <c r="AG28" s="5" t="n">
        <v>1246</v>
      </c>
      <c r="AH28" s="3" t="s">
        <v>191</v>
      </c>
      <c r="AI28" s="6" t="n">
        <v>112.6968791667</v>
      </c>
      <c r="AJ28" s="7"/>
      <c r="AK28" s="5" t="n">
        <v>99999</v>
      </c>
      <c r="AL28" s="4" t="n">
        <f aca="false">(IF(AC28=99999,0,AC28))+((IF(AF28=99999,0,AF28))/AE28)+AG28+(AJ28/AI28)+(IF(AK28=99999,0,AK28))</f>
        <v>1246.07900627353</v>
      </c>
      <c r="AM28" s="4" t="n">
        <f aca="false">AL28+AB28</f>
        <v>1326.07900627353</v>
      </c>
      <c r="AN28" s="8" t="s">
        <v>124</v>
      </c>
      <c r="AO28" s="8" t="s">
        <v>189</v>
      </c>
      <c r="AP28" s="24" t="e">
        <f aca="false">(IF((F28="Port to Port"),(IF(AND(AC28=99999,OR(AF28="",AF28=99999),AG28="",AJ28="",AK28=99999,#REF!="",#REF!="",#REF!="",#REF!="",#REF!="",#REF!="",AN28&lt;&gt;"",#REF!&lt;&gt;"",#REF!="",#REF!="",AO28&lt;&gt;"",#REF!&lt;&gt;"",#REF!="",#REF!="",#REF!="",#REF!=""),"No Bid",IF(AND(AC28=99999,OR(AF28&lt;&gt;"",AF28=99999),AG28&lt;&gt;"",AJ28&lt;&gt;"",AK28=99999,#REF!&lt;&gt;"",#REF!&lt;&gt;"",#REF!&lt;&gt;"",#REF!&lt;&gt;"",#REF!&lt;&gt;"",#REF!&lt;&gt;"",AN28&lt;&gt;"",#REF!&lt;&gt;"",#REF!="",#REF!="",AO28&lt;&gt;"",#REF!&lt;&gt;"",#REF!="",#REF!="",#REF!&lt;&gt;"",(IF((OR(#REF!="No Trans-Shipments",#REF!="")),(AND(#REF!="",#REF!="")),(IF(#REF!="1 Trans-Shipment",(AND(#REF!&lt;&gt;"",#REF!="")),(AND(#REF!&lt;&gt;"",#REF!&lt;&gt;"")))))),#REF!&lt;&gt;""),"Complete Bid","Incomplete Bid")))))</f>
        <v>#REF!</v>
      </c>
      <c r="AQ28" s="25" t="n">
        <f aca="false">(IF((F28="Door to Port"),(IF(AND(AC28="",AF28="",AG28="",AJ28="",AK28=99999,#REF!="",#REF!="",#REF!="",#REF!="",#REF!="",#REF!="",AN28="",#REF!="",#REF!="",#REF!="",AO28&lt;&gt;"",#REF!&lt;&gt;"",#REF!="",#REF!="",#REF!="",#REF!=""),"No Bid",IF(AND(AC28&lt;&gt;"",AF28&lt;&gt;"",AG28&lt;&gt;"",AJ28&lt;&gt;"",AK28=99999,#REF!&lt;&gt;"",#REF!&lt;&gt;"",#REF!&lt;&gt;"",#REF!&lt;&gt;"",#REF!&lt;&gt;"",#REF!&lt;&gt;"",AN28&lt;&gt;"",#REF!&lt;&gt;"",OR(#REF!="",#REF!&lt;&gt;""),#REF!&lt;&gt;"",AO28&lt;&gt;"",#REF!&lt;&gt;"",#REF!="",#REF!="",#REF!&lt;&gt;"",(IF((OR((#REF!="No Trans-Shipments"),(#REF!=""))),(AND(#REF!="",#REF!="")),(IF(#REF!="1 Trans-Shipment",(AND(#REF!&lt;&gt;"",#REF!="")),(AND(#REF!&lt;&gt;"",#REF!&lt;&gt;"")))))),#REF!&lt;&gt;""),"Complete Bid","Incomplete Bid")))))</f>
        <v>0</v>
      </c>
      <c r="AR28" s="25" t="n">
        <f aca="false">(IF((F28="Port to Door"),(IF(AND(AC28=99999,OR(AF28="",AF28=99999),AG28="",AJ28="",AK28="",#REF!="",#REF!="",#REF!="",#REF!="",#REF!="",#REF!="",AN28&lt;&gt;"",#REF!&lt;&gt;"",#REF!="",#REF!="",AO28="",#REF!="",#REF!="",#REF!="",#REF!="",#REF!=""),"No Bid",IF(AND(AC28=99999,OR(AF28&lt;&gt;"",AF28=99999),AG28&lt;&gt;"",AJ28&lt;&gt;"",AK28&lt;&gt;"",#REF!&lt;&gt;"",#REF!&lt;&gt;"",#REF!&lt;&gt;"",#REF!&lt;&gt;"",#REF!&lt;&gt;"",#REF!&lt;&gt;"",AN28&lt;&gt;"",#REF!&lt;&gt;"",#REF!="",#REF!="",AO28&lt;&gt;"",#REF!&lt;&gt;"",OR(#REF!&lt;&gt;"",#REF!=""),#REF!&lt;&gt;"",#REF!&lt;&gt;"",(IF((OR(#REF!="No Trans-Shipments",#REF!="")),(AND(#REF!="",#REF!="")),(IF(#REF!="1 Trans-Shipment",(AND(#REF!&lt;&gt;"",#REF!="")),(AND(#REF!&lt;&gt;"",#REF!&lt;&gt;"")))))),#REF!&lt;&gt;""),"Complete Bid","Incomplete Bid")))))</f>
        <v>0</v>
      </c>
      <c r="AS28" s="25" t="n">
        <f aca="false">(IF((F28="Door to Door"),(IF(AND(AC28="",AF28="",AG28="",AJ28="",AK28="",#REF!="",#REF!="",#REF!="",#REF!="",#REF!="",#REF!="",AN28="",#REF!="",#REF!="",#REF!="",AO28="",#REF!="",#REF!="",#REF!="",#REF!="",#REF!=""),"No Bid",IF(AND(AC28&lt;&gt;"",AF28&lt;&gt;"",AG28&lt;&gt;"",AJ28&lt;&gt;"",AK28&lt;&gt;"",#REF!&lt;&gt;"",#REF!&lt;&gt;"",#REF!&lt;&gt;"",#REF!&lt;&gt;"",#REF!&lt;&gt;"",#REF!&lt;&gt;"",AN28&lt;&gt;"",#REF!&lt;&gt;"",OR(#REF!&lt;&gt;"",#REF!=""),#REF!&lt;&gt;"",AO28&lt;&gt;"",#REF!&lt;&gt;"",OR(#REF!&lt;&gt;"",#REF!=""),#REF!&lt;&gt;"",#REF!&lt;&gt;"",(IF((OR(#REF!="No Trans-Shipments",#REF!="")),(AND(#REF!="",#REF!="")),(IF(#REF!="1 Trans-Shipment",(AND(#REF!&lt;&gt;"",#REF!="")),(AND(#REF!&lt;&gt;"",#REF!&lt;&gt;"")))))),#REF!&lt;&gt;""),"Complete Bid","Incomplete Bid")))))</f>
        <v>0</v>
      </c>
    </row>
    <row r="29" customFormat="false" ht="12.75" hidden="false" customHeight="true" outlineLevel="0" collapsed="false">
      <c r="A29" s="2" t="s">
        <v>56</v>
      </c>
      <c r="B29" s="23" t="s">
        <v>195</v>
      </c>
      <c r="C29" s="3" t="s">
        <v>58</v>
      </c>
      <c r="D29" s="3" t="s">
        <v>196</v>
      </c>
      <c r="E29" s="3" t="s">
        <v>120</v>
      </c>
      <c r="F29" s="3" t="s">
        <v>61</v>
      </c>
      <c r="G29" s="3" t="s">
        <v>146</v>
      </c>
      <c r="H29" s="3" t="s">
        <v>58</v>
      </c>
      <c r="I29" s="3" t="s">
        <v>123</v>
      </c>
      <c r="J29" s="3" t="s">
        <v>124</v>
      </c>
      <c r="K29" s="3" t="s">
        <v>58</v>
      </c>
      <c r="L29" s="3" t="s">
        <v>197</v>
      </c>
      <c r="M29" s="3" t="s">
        <v>198</v>
      </c>
      <c r="N29" s="3" t="s">
        <v>66</v>
      </c>
      <c r="O29" s="3"/>
      <c r="P29" s="3" t="s">
        <v>68</v>
      </c>
      <c r="Q29" s="3"/>
      <c r="R29" s="3" t="s">
        <v>126</v>
      </c>
      <c r="S29" s="3"/>
      <c r="T29" s="3" t="s">
        <v>199</v>
      </c>
      <c r="U29" s="3"/>
      <c r="V29" s="4" t="n">
        <v>6</v>
      </c>
      <c r="W29" s="4"/>
      <c r="X29" s="4" t="n">
        <v>14</v>
      </c>
      <c r="Y29" s="4" t="n">
        <v>7</v>
      </c>
      <c r="Z29" s="4" t="n">
        <v>14</v>
      </c>
      <c r="AA29" s="4" t="n">
        <v>7</v>
      </c>
      <c r="AB29" s="4" t="n">
        <v>40</v>
      </c>
      <c r="AC29" s="5" t="n">
        <v>99999</v>
      </c>
      <c r="AD29" s="3" t="s">
        <v>128</v>
      </c>
      <c r="AE29" s="6" t="n">
        <v>1177.1217125</v>
      </c>
      <c r="AF29" s="5" t="n">
        <v>94</v>
      </c>
      <c r="AG29" s="5" t="n">
        <v>1247</v>
      </c>
      <c r="AH29" s="3" t="s">
        <v>200</v>
      </c>
      <c r="AI29" s="6" t="n">
        <v>14685.35375</v>
      </c>
      <c r="AJ29" s="7"/>
      <c r="AK29" s="5" t="n">
        <v>99999</v>
      </c>
      <c r="AL29" s="4" t="n">
        <f aca="false">(IF(AC29=99999,0,AC29))+((IF(AF29=99999,0,AF29))/AE29)+AG29+(AJ29/AI29)+(IF(AK29=99999,0,AK29))</f>
        <v>1247.07985580336</v>
      </c>
      <c r="AM29" s="4" t="n">
        <f aca="false">AL29+AB29</f>
        <v>1287.07985580336</v>
      </c>
      <c r="AN29" s="8" t="s">
        <v>124</v>
      </c>
      <c r="AO29" s="8" t="s">
        <v>198</v>
      </c>
      <c r="AP29" s="24" t="e">
        <f aca="false">(IF((F29="Port to Port"),(IF(AND(AC29=99999,OR(AF29="",AF29=99999),AG29="",AJ29="",AK29=99999,#REF!="",#REF!="",#REF!="",#REF!="",#REF!="",#REF!="",AN29&lt;&gt;"",#REF!&lt;&gt;"",#REF!="",#REF!="",AO29&lt;&gt;"",#REF!&lt;&gt;"",#REF!="",#REF!="",#REF!="",#REF!=""),"No Bid",IF(AND(AC29=99999,OR(AF29&lt;&gt;"",AF29=99999),AG29&lt;&gt;"",AJ29&lt;&gt;"",AK29=99999,#REF!&lt;&gt;"",#REF!&lt;&gt;"",#REF!&lt;&gt;"",#REF!&lt;&gt;"",#REF!&lt;&gt;"",#REF!&lt;&gt;"",AN29&lt;&gt;"",#REF!&lt;&gt;"",#REF!="",#REF!="",AO29&lt;&gt;"",#REF!&lt;&gt;"",#REF!="",#REF!="",#REF!&lt;&gt;"",(IF((OR(#REF!="No Trans-Shipments",#REF!="")),(AND(#REF!="",#REF!="")),(IF(#REF!="1 Trans-Shipment",(AND(#REF!&lt;&gt;"",#REF!="")),(AND(#REF!&lt;&gt;"",#REF!&lt;&gt;"")))))),#REF!&lt;&gt;""),"Complete Bid","Incomplete Bid")))))</f>
        <v>#REF!</v>
      </c>
      <c r="AQ29" s="25" t="n">
        <f aca="false">(IF((F29="Door to Port"),(IF(AND(AC29="",AF29="",AG29="",AJ29="",AK29=99999,#REF!="",#REF!="",#REF!="",#REF!="",#REF!="",#REF!="",AN29="",#REF!="",#REF!="",#REF!="",AO29&lt;&gt;"",#REF!&lt;&gt;"",#REF!="",#REF!="",#REF!="",#REF!=""),"No Bid",IF(AND(AC29&lt;&gt;"",AF29&lt;&gt;"",AG29&lt;&gt;"",AJ29&lt;&gt;"",AK29=99999,#REF!&lt;&gt;"",#REF!&lt;&gt;"",#REF!&lt;&gt;"",#REF!&lt;&gt;"",#REF!&lt;&gt;"",#REF!&lt;&gt;"",AN29&lt;&gt;"",#REF!&lt;&gt;"",OR(#REF!="",#REF!&lt;&gt;""),#REF!&lt;&gt;"",AO29&lt;&gt;"",#REF!&lt;&gt;"",#REF!="",#REF!="",#REF!&lt;&gt;"",(IF((OR((#REF!="No Trans-Shipments"),(#REF!=""))),(AND(#REF!="",#REF!="")),(IF(#REF!="1 Trans-Shipment",(AND(#REF!&lt;&gt;"",#REF!="")),(AND(#REF!&lt;&gt;"",#REF!&lt;&gt;"")))))),#REF!&lt;&gt;""),"Complete Bid","Incomplete Bid")))))</f>
        <v>0</v>
      </c>
      <c r="AR29" s="25" t="n">
        <f aca="false">(IF((F29="Port to Door"),(IF(AND(AC29=99999,OR(AF29="",AF29=99999),AG29="",AJ29="",AK29="",#REF!="",#REF!="",#REF!="",#REF!="",#REF!="",#REF!="",AN29&lt;&gt;"",#REF!&lt;&gt;"",#REF!="",#REF!="",AO29="",#REF!="",#REF!="",#REF!="",#REF!="",#REF!=""),"No Bid",IF(AND(AC29=99999,OR(AF29&lt;&gt;"",AF29=99999),AG29&lt;&gt;"",AJ29&lt;&gt;"",AK29&lt;&gt;"",#REF!&lt;&gt;"",#REF!&lt;&gt;"",#REF!&lt;&gt;"",#REF!&lt;&gt;"",#REF!&lt;&gt;"",#REF!&lt;&gt;"",AN29&lt;&gt;"",#REF!&lt;&gt;"",#REF!="",#REF!="",AO29&lt;&gt;"",#REF!&lt;&gt;"",OR(#REF!&lt;&gt;"",#REF!=""),#REF!&lt;&gt;"",#REF!&lt;&gt;"",(IF((OR(#REF!="No Trans-Shipments",#REF!="")),(AND(#REF!="",#REF!="")),(IF(#REF!="1 Trans-Shipment",(AND(#REF!&lt;&gt;"",#REF!="")),(AND(#REF!&lt;&gt;"",#REF!&lt;&gt;"")))))),#REF!&lt;&gt;""),"Complete Bid","Incomplete Bid")))))</f>
        <v>0</v>
      </c>
      <c r="AS29" s="25" t="n">
        <f aca="false">(IF((F29="Door to Door"),(IF(AND(AC29="",AF29="",AG29="",AJ29="",AK29="",#REF!="",#REF!="",#REF!="",#REF!="",#REF!="",#REF!="",AN29="",#REF!="",#REF!="",#REF!="",AO29="",#REF!="",#REF!="",#REF!="",#REF!="",#REF!=""),"No Bid",IF(AND(AC29&lt;&gt;"",AF29&lt;&gt;"",AG29&lt;&gt;"",AJ29&lt;&gt;"",AK29&lt;&gt;"",#REF!&lt;&gt;"",#REF!&lt;&gt;"",#REF!&lt;&gt;"",#REF!&lt;&gt;"",#REF!&lt;&gt;"",#REF!&lt;&gt;"",AN29&lt;&gt;"",#REF!&lt;&gt;"",OR(#REF!&lt;&gt;"",#REF!=""),#REF!&lt;&gt;"",AO29&lt;&gt;"",#REF!&lt;&gt;"",OR(#REF!&lt;&gt;"",#REF!=""),#REF!&lt;&gt;"",#REF!&lt;&gt;"",(IF((OR(#REF!="No Trans-Shipments",#REF!="")),(AND(#REF!="",#REF!="")),(IF(#REF!="1 Trans-Shipment",(AND(#REF!&lt;&gt;"",#REF!="")),(AND(#REF!&lt;&gt;"",#REF!&lt;&gt;"")))))),#REF!&lt;&gt;""),"Complete Bid","Incomplete Bid")))))</f>
        <v>0</v>
      </c>
    </row>
    <row r="30" customFormat="false" ht="12.75" hidden="false" customHeight="true" outlineLevel="0" collapsed="false">
      <c r="A30" s="2" t="s">
        <v>56</v>
      </c>
      <c r="B30" s="23" t="s">
        <v>201</v>
      </c>
      <c r="C30" s="3" t="s">
        <v>58</v>
      </c>
      <c r="D30" s="3" t="s">
        <v>202</v>
      </c>
      <c r="E30" s="3" t="s">
        <v>120</v>
      </c>
      <c r="F30" s="3" t="s">
        <v>61</v>
      </c>
      <c r="G30" s="3" t="s">
        <v>146</v>
      </c>
      <c r="H30" s="3" t="s">
        <v>58</v>
      </c>
      <c r="I30" s="3" t="s">
        <v>123</v>
      </c>
      <c r="J30" s="3" t="s">
        <v>124</v>
      </c>
      <c r="K30" s="3" t="s">
        <v>58</v>
      </c>
      <c r="L30" s="3" t="s">
        <v>197</v>
      </c>
      <c r="M30" s="3" t="s">
        <v>198</v>
      </c>
      <c r="N30" s="3" t="s">
        <v>80</v>
      </c>
      <c r="O30" s="3"/>
      <c r="P30" s="3" t="s">
        <v>68</v>
      </c>
      <c r="Q30" s="3"/>
      <c r="R30" s="3" t="s">
        <v>126</v>
      </c>
      <c r="S30" s="3"/>
      <c r="T30" s="3" t="s">
        <v>199</v>
      </c>
      <c r="U30" s="3"/>
      <c r="V30" s="4" t="n">
        <v>59</v>
      </c>
      <c r="W30" s="4" t="s">
        <v>203</v>
      </c>
      <c r="X30" s="4" t="n">
        <v>14</v>
      </c>
      <c r="Y30" s="4" t="n">
        <v>7</v>
      </c>
      <c r="Z30" s="4" t="n">
        <v>14</v>
      </c>
      <c r="AA30" s="4" t="n">
        <v>7</v>
      </c>
      <c r="AB30" s="4" t="n">
        <v>80</v>
      </c>
      <c r="AC30" s="5" t="n">
        <v>99999</v>
      </c>
      <c r="AD30" s="3" t="s">
        <v>128</v>
      </c>
      <c r="AE30" s="6" t="n">
        <v>1177.1217125</v>
      </c>
      <c r="AF30" s="5" t="n">
        <v>95</v>
      </c>
      <c r="AG30" s="5" t="n">
        <v>1248</v>
      </c>
      <c r="AH30" s="3" t="s">
        <v>200</v>
      </c>
      <c r="AI30" s="6" t="n">
        <v>14685.35375</v>
      </c>
      <c r="AJ30" s="7"/>
      <c r="AK30" s="5" t="n">
        <v>99999</v>
      </c>
      <c r="AL30" s="4" t="n">
        <f aca="false">(IF(AC30=99999,0,AC30))+((IF(AF30=99999,0,AF30))/AE30)+AG30+(AJ30/AI30)+(IF(AK30=99999,0,AK30))</f>
        <v>1248.08070533318</v>
      </c>
      <c r="AM30" s="4" t="n">
        <f aca="false">AL30+AB30</f>
        <v>1328.08070533318</v>
      </c>
      <c r="AN30" s="8" t="s">
        <v>124</v>
      </c>
      <c r="AO30" s="8" t="s">
        <v>198</v>
      </c>
      <c r="AP30" s="24" t="e">
        <f aca="false">(IF((F30="Port to Port"),(IF(AND(AC30=99999,OR(AF30="",AF30=99999),AG30="",AJ30="",AK30=99999,#REF!="",#REF!="",#REF!="",#REF!="",#REF!="",#REF!="",AN30&lt;&gt;"",#REF!&lt;&gt;"",#REF!="",#REF!="",AO30&lt;&gt;"",#REF!&lt;&gt;"",#REF!="",#REF!="",#REF!="",#REF!=""),"No Bid",IF(AND(AC30=99999,OR(AF30&lt;&gt;"",AF30=99999),AG30&lt;&gt;"",AJ30&lt;&gt;"",AK30=99999,#REF!&lt;&gt;"",#REF!&lt;&gt;"",#REF!&lt;&gt;"",#REF!&lt;&gt;"",#REF!&lt;&gt;"",#REF!&lt;&gt;"",AN30&lt;&gt;"",#REF!&lt;&gt;"",#REF!="",#REF!="",AO30&lt;&gt;"",#REF!&lt;&gt;"",#REF!="",#REF!="",#REF!&lt;&gt;"",(IF((OR(#REF!="No Trans-Shipments",#REF!="")),(AND(#REF!="",#REF!="")),(IF(#REF!="1 Trans-Shipment",(AND(#REF!&lt;&gt;"",#REF!="")),(AND(#REF!&lt;&gt;"",#REF!&lt;&gt;"")))))),#REF!&lt;&gt;""),"Complete Bid","Incomplete Bid")))))</f>
        <v>#REF!</v>
      </c>
      <c r="AQ30" s="25" t="n">
        <f aca="false">(IF((F30="Door to Port"),(IF(AND(AC30="",AF30="",AG30="",AJ30="",AK30=99999,#REF!="",#REF!="",#REF!="",#REF!="",#REF!="",#REF!="",AN30="",#REF!="",#REF!="",#REF!="",AO30&lt;&gt;"",#REF!&lt;&gt;"",#REF!="",#REF!="",#REF!="",#REF!=""),"No Bid",IF(AND(AC30&lt;&gt;"",AF30&lt;&gt;"",AG30&lt;&gt;"",AJ30&lt;&gt;"",AK30=99999,#REF!&lt;&gt;"",#REF!&lt;&gt;"",#REF!&lt;&gt;"",#REF!&lt;&gt;"",#REF!&lt;&gt;"",#REF!&lt;&gt;"",AN30&lt;&gt;"",#REF!&lt;&gt;"",OR(#REF!="",#REF!&lt;&gt;""),#REF!&lt;&gt;"",AO30&lt;&gt;"",#REF!&lt;&gt;"",#REF!="",#REF!="",#REF!&lt;&gt;"",(IF((OR((#REF!="No Trans-Shipments"),(#REF!=""))),(AND(#REF!="",#REF!="")),(IF(#REF!="1 Trans-Shipment",(AND(#REF!&lt;&gt;"",#REF!="")),(AND(#REF!&lt;&gt;"",#REF!&lt;&gt;"")))))),#REF!&lt;&gt;""),"Complete Bid","Incomplete Bid")))))</f>
        <v>0</v>
      </c>
      <c r="AR30" s="25" t="n">
        <f aca="false">(IF((F30="Port to Door"),(IF(AND(AC30=99999,OR(AF30="",AF30=99999),AG30="",AJ30="",AK30="",#REF!="",#REF!="",#REF!="",#REF!="",#REF!="",#REF!="",AN30&lt;&gt;"",#REF!&lt;&gt;"",#REF!="",#REF!="",AO30="",#REF!="",#REF!="",#REF!="",#REF!="",#REF!=""),"No Bid",IF(AND(AC30=99999,OR(AF30&lt;&gt;"",AF30=99999),AG30&lt;&gt;"",AJ30&lt;&gt;"",AK30&lt;&gt;"",#REF!&lt;&gt;"",#REF!&lt;&gt;"",#REF!&lt;&gt;"",#REF!&lt;&gt;"",#REF!&lt;&gt;"",#REF!&lt;&gt;"",AN30&lt;&gt;"",#REF!&lt;&gt;"",#REF!="",#REF!="",AO30&lt;&gt;"",#REF!&lt;&gt;"",OR(#REF!&lt;&gt;"",#REF!=""),#REF!&lt;&gt;"",#REF!&lt;&gt;"",(IF((OR(#REF!="No Trans-Shipments",#REF!="")),(AND(#REF!="",#REF!="")),(IF(#REF!="1 Trans-Shipment",(AND(#REF!&lt;&gt;"",#REF!="")),(AND(#REF!&lt;&gt;"",#REF!&lt;&gt;"")))))),#REF!&lt;&gt;""),"Complete Bid","Incomplete Bid")))))</f>
        <v>0</v>
      </c>
      <c r="AS30" s="25" t="n">
        <f aca="false">(IF((F30="Door to Door"),(IF(AND(AC30="",AF30="",AG30="",AJ30="",AK30="",#REF!="",#REF!="",#REF!="",#REF!="",#REF!="",#REF!="",AN30="",#REF!="",#REF!="",#REF!="",AO30="",#REF!="",#REF!="",#REF!="",#REF!="",#REF!=""),"No Bid",IF(AND(AC30&lt;&gt;"",AF30&lt;&gt;"",AG30&lt;&gt;"",AJ30&lt;&gt;"",AK30&lt;&gt;"",#REF!&lt;&gt;"",#REF!&lt;&gt;"",#REF!&lt;&gt;"",#REF!&lt;&gt;"",#REF!&lt;&gt;"",#REF!&lt;&gt;"",AN30&lt;&gt;"",#REF!&lt;&gt;"",OR(#REF!&lt;&gt;"",#REF!=""),#REF!&lt;&gt;"",AO30&lt;&gt;"",#REF!&lt;&gt;"",OR(#REF!&lt;&gt;"",#REF!=""),#REF!&lt;&gt;"",#REF!&lt;&gt;"",(IF((OR(#REF!="No Trans-Shipments",#REF!="")),(AND(#REF!="",#REF!="")),(IF(#REF!="1 Trans-Shipment",(AND(#REF!&lt;&gt;"",#REF!="")),(AND(#REF!&lt;&gt;"",#REF!&lt;&gt;"")))))),#REF!&lt;&gt;""),"Complete Bid","Incomplete Bid")))))</f>
        <v>0</v>
      </c>
    </row>
    <row r="31" customFormat="false" ht="12.75" hidden="false" customHeight="true" outlineLevel="0" collapsed="false">
      <c r="A31" s="2" t="s">
        <v>56</v>
      </c>
      <c r="B31" s="23" t="s">
        <v>204</v>
      </c>
      <c r="C31" s="3" t="s">
        <v>58</v>
      </c>
      <c r="D31" s="3" t="s">
        <v>205</v>
      </c>
      <c r="E31" s="3" t="s">
        <v>120</v>
      </c>
      <c r="F31" s="3" t="s">
        <v>61</v>
      </c>
      <c r="G31" s="3" t="s">
        <v>62</v>
      </c>
      <c r="H31" s="3" t="s">
        <v>58</v>
      </c>
      <c r="I31" s="3" t="s">
        <v>123</v>
      </c>
      <c r="J31" s="3" t="s">
        <v>124</v>
      </c>
      <c r="K31" s="3" t="s">
        <v>58</v>
      </c>
      <c r="L31" s="3" t="s">
        <v>206</v>
      </c>
      <c r="M31" s="3" t="s">
        <v>207</v>
      </c>
      <c r="N31" s="3" t="s">
        <v>66</v>
      </c>
      <c r="O31" s="3"/>
      <c r="P31" s="3" t="s">
        <v>68</v>
      </c>
      <c r="Q31" s="3"/>
      <c r="R31" s="3" t="s">
        <v>126</v>
      </c>
      <c r="S31" s="3"/>
      <c r="T31" s="3" t="s">
        <v>208</v>
      </c>
      <c r="U31" s="3"/>
      <c r="V31" s="4" t="n">
        <v>10</v>
      </c>
      <c r="W31" s="4"/>
      <c r="X31" s="4" t="n">
        <v>14</v>
      </c>
      <c r="Y31" s="4" t="n">
        <v>7</v>
      </c>
      <c r="Z31" s="4" t="n">
        <v>14</v>
      </c>
      <c r="AA31" s="4" t="n">
        <v>7</v>
      </c>
      <c r="AB31" s="4" t="n">
        <v>40</v>
      </c>
      <c r="AC31" s="5" t="n">
        <v>99999</v>
      </c>
      <c r="AD31" s="3" t="s">
        <v>128</v>
      </c>
      <c r="AE31" s="6" t="n">
        <v>1177.1217125</v>
      </c>
      <c r="AF31" s="5" t="n">
        <v>96</v>
      </c>
      <c r="AG31" s="5" t="n">
        <v>1249</v>
      </c>
      <c r="AH31" s="3" t="s">
        <v>209</v>
      </c>
      <c r="AI31" s="6" t="n">
        <v>27.2747218333</v>
      </c>
      <c r="AJ31" s="7"/>
      <c r="AK31" s="5" t="n">
        <v>99999</v>
      </c>
      <c r="AL31" s="4" t="n">
        <f aca="false">(IF(AC31=99999,0,AC31))+((IF(AF31=99999,0,AF31))/AE31)+AG31+(AJ31/AI31)+(IF(AK31=99999,0,AK31))</f>
        <v>1249.081554863</v>
      </c>
      <c r="AM31" s="4" t="n">
        <f aca="false">AL31+AB31</f>
        <v>1289.081554863</v>
      </c>
      <c r="AN31" s="8" t="s">
        <v>124</v>
      </c>
      <c r="AO31" s="8" t="s">
        <v>207</v>
      </c>
      <c r="AP31" s="24" t="e">
        <f aca="false">(IF((F31="Port to Port"),(IF(AND(AC31=99999,OR(AF31="",AF31=99999),AG31="",AJ31="",AK31=99999,#REF!="",#REF!="",#REF!="",#REF!="",#REF!="",#REF!="",AN31&lt;&gt;"",#REF!&lt;&gt;"",#REF!="",#REF!="",AO31&lt;&gt;"",#REF!&lt;&gt;"",#REF!="",#REF!="",#REF!="",#REF!=""),"No Bid",IF(AND(AC31=99999,OR(AF31&lt;&gt;"",AF31=99999),AG31&lt;&gt;"",AJ31&lt;&gt;"",AK31=99999,#REF!&lt;&gt;"",#REF!&lt;&gt;"",#REF!&lt;&gt;"",#REF!&lt;&gt;"",#REF!&lt;&gt;"",#REF!&lt;&gt;"",AN31&lt;&gt;"",#REF!&lt;&gt;"",#REF!="",#REF!="",AO31&lt;&gt;"",#REF!&lt;&gt;"",#REF!="",#REF!="",#REF!&lt;&gt;"",(IF((OR(#REF!="No Trans-Shipments",#REF!="")),(AND(#REF!="",#REF!="")),(IF(#REF!="1 Trans-Shipment",(AND(#REF!&lt;&gt;"",#REF!="")),(AND(#REF!&lt;&gt;"",#REF!&lt;&gt;"")))))),#REF!&lt;&gt;""),"Complete Bid","Incomplete Bid")))))</f>
        <v>#REF!</v>
      </c>
      <c r="AQ31" s="25" t="n">
        <f aca="false">(IF((F31="Door to Port"),(IF(AND(AC31="",AF31="",AG31="",AJ31="",AK31=99999,#REF!="",#REF!="",#REF!="",#REF!="",#REF!="",#REF!="",AN31="",#REF!="",#REF!="",#REF!="",AO31&lt;&gt;"",#REF!&lt;&gt;"",#REF!="",#REF!="",#REF!="",#REF!=""),"No Bid",IF(AND(AC31&lt;&gt;"",AF31&lt;&gt;"",AG31&lt;&gt;"",AJ31&lt;&gt;"",AK31=99999,#REF!&lt;&gt;"",#REF!&lt;&gt;"",#REF!&lt;&gt;"",#REF!&lt;&gt;"",#REF!&lt;&gt;"",#REF!&lt;&gt;"",AN31&lt;&gt;"",#REF!&lt;&gt;"",OR(#REF!="",#REF!&lt;&gt;""),#REF!&lt;&gt;"",AO31&lt;&gt;"",#REF!&lt;&gt;"",#REF!="",#REF!="",#REF!&lt;&gt;"",(IF((OR((#REF!="No Trans-Shipments"),(#REF!=""))),(AND(#REF!="",#REF!="")),(IF(#REF!="1 Trans-Shipment",(AND(#REF!&lt;&gt;"",#REF!="")),(AND(#REF!&lt;&gt;"",#REF!&lt;&gt;"")))))),#REF!&lt;&gt;""),"Complete Bid","Incomplete Bid")))))</f>
        <v>0</v>
      </c>
      <c r="AR31" s="25" t="n">
        <f aca="false">(IF((F31="Port to Door"),(IF(AND(AC31=99999,OR(AF31="",AF31=99999),AG31="",AJ31="",AK31="",#REF!="",#REF!="",#REF!="",#REF!="",#REF!="",#REF!="",AN31&lt;&gt;"",#REF!&lt;&gt;"",#REF!="",#REF!="",AO31="",#REF!="",#REF!="",#REF!="",#REF!="",#REF!=""),"No Bid",IF(AND(AC31=99999,OR(AF31&lt;&gt;"",AF31=99999),AG31&lt;&gt;"",AJ31&lt;&gt;"",AK31&lt;&gt;"",#REF!&lt;&gt;"",#REF!&lt;&gt;"",#REF!&lt;&gt;"",#REF!&lt;&gt;"",#REF!&lt;&gt;"",#REF!&lt;&gt;"",AN31&lt;&gt;"",#REF!&lt;&gt;"",#REF!="",#REF!="",AO31&lt;&gt;"",#REF!&lt;&gt;"",OR(#REF!&lt;&gt;"",#REF!=""),#REF!&lt;&gt;"",#REF!&lt;&gt;"",(IF((OR(#REF!="No Trans-Shipments",#REF!="")),(AND(#REF!="",#REF!="")),(IF(#REF!="1 Trans-Shipment",(AND(#REF!&lt;&gt;"",#REF!="")),(AND(#REF!&lt;&gt;"",#REF!&lt;&gt;"")))))),#REF!&lt;&gt;""),"Complete Bid","Incomplete Bid")))))</f>
        <v>0</v>
      </c>
      <c r="AS31" s="25" t="n">
        <f aca="false">(IF((F31="Door to Door"),(IF(AND(AC31="",AF31="",AG31="",AJ31="",AK31="",#REF!="",#REF!="",#REF!="",#REF!="",#REF!="",#REF!="",AN31="",#REF!="",#REF!="",#REF!="",AO31="",#REF!="",#REF!="",#REF!="",#REF!="",#REF!=""),"No Bid",IF(AND(AC31&lt;&gt;"",AF31&lt;&gt;"",AG31&lt;&gt;"",AJ31&lt;&gt;"",AK31&lt;&gt;"",#REF!&lt;&gt;"",#REF!&lt;&gt;"",#REF!&lt;&gt;"",#REF!&lt;&gt;"",#REF!&lt;&gt;"",#REF!&lt;&gt;"",AN31&lt;&gt;"",#REF!&lt;&gt;"",OR(#REF!&lt;&gt;"",#REF!=""),#REF!&lt;&gt;"",AO31&lt;&gt;"",#REF!&lt;&gt;"",OR(#REF!&lt;&gt;"",#REF!=""),#REF!&lt;&gt;"",#REF!&lt;&gt;"",(IF((OR(#REF!="No Trans-Shipments",#REF!="")),(AND(#REF!="",#REF!="")),(IF(#REF!="1 Trans-Shipment",(AND(#REF!&lt;&gt;"",#REF!="")),(AND(#REF!&lt;&gt;"",#REF!&lt;&gt;"")))))),#REF!&lt;&gt;""),"Complete Bid","Incomplete Bid")))))</f>
        <v>0</v>
      </c>
    </row>
    <row r="32" customFormat="false" ht="12.75" hidden="false" customHeight="true" outlineLevel="0" collapsed="false">
      <c r="A32" s="2" t="s">
        <v>56</v>
      </c>
      <c r="B32" s="23" t="s">
        <v>210</v>
      </c>
      <c r="C32" s="3" t="s">
        <v>58</v>
      </c>
      <c r="D32" s="3" t="s">
        <v>211</v>
      </c>
      <c r="E32" s="3" t="s">
        <v>120</v>
      </c>
      <c r="F32" s="3" t="s">
        <v>61</v>
      </c>
      <c r="G32" s="3" t="s">
        <v>62</v>
      </c>
      <c r="H32" s="3" t="s">
        <v>58</v>
      </c>
      <c r="I32" s="3" t="s">
        <v>123</v>
      </c>
      <c r="J32" s="3" t="s">
        <v>124</v>
      </c>
      <c r="K32" s="3" t="s">
        <v>58</v>
      </c>
      <c r="L32" s="3" t="s">
        <v>206</v>
      </c>
      <c r="M32" s="3" t="s">
        <v>207</v>
      </c>
      <c r="N32" s="3" t="s">
        <v>80</v>
      </c>
      <c r="O32" s="3"/>
      <c r="P32" s="3" t="s">
        <v>68</v>
      </c>
      <c r="Q32" s="3"/>
      <c r="R32" s="3" t="s">
        <v>126</v>
      </c>
      <c r="S32" s="3"/>
      <c r="T32" s="3" t="s">
        <v>208</v>
      </c>
      <c r="U32" s="3"/>
      <c r="V32" s="4" t="n">
        <v>105</v>
      </c>
      <c r="W32" s="4" t="s">
        <v>212</v>
      </c>
      <c r="X32" s="4" t="n">
        <v>14</v>
      </c>
      <c r="Y32" s="4" t="n">
        <v>7</v>
      </c>
      <c r="Z32" s="4" t="n">
        <v>14</v>
      </c>
      <c r="AA32" s="4" t="n">
        <v>7</v>
      </c>
      <c r="AB32" s="4" t="n">
        <v>80</v>
      </c>
      <c r="AC32" s="5" t="n">
        <v>99999</v>
      </c>
      <c r="AD32" s="3" t="s">
        <v>128</v>
      </c>
      <c r="AE32" s="6" t="n">
        <v>1177.1217125</v>
      </c>
      <c r="AF32" s="5" t="n">
        <v>97</v>
      </c>
      <c r="AG32" s="5" t="n">
        <v>1250</v>
      </c>
      <c r="AH32" s="3" t="s">
        <v>209</v>
      </c>
      <c r="AI32" s="6" t="n">
        <v>27.2747218333</v>
      </c>
      <c r="AJ32" s="7"/>
      <c r="AK32" s="5" t="n">
        <v>99999</v>
      </c>
      <c r="AL32" s="4" t="n">
        <f aca="false">(IF(AC32=99999,0,AC32))+((IF(AF32=99999,0,AF32))/AE32)+AG32+(AJ32/AI32)+(IF(AK32=99999,0,AK32))</f>
        <v>1250.08240439283</v>
      </c>
      <c r="AM32" s="4" t="n">
        <f aca="false">AL32+AB32</f>
        <v>1330.08240439283</v>
      </c>
      <c r="AN32" s="8" t="s">
        <v>124</v>
      </c>
      <c r="AO32" s="8" t="s">
        <v>207</v>
      </c>
      <c r="AP32" s="24" t="e">
        <f aca="false">(IF((F32="Port to Port"),(IF(AND(AC32=99999,OR(AF32="",AF32=99999),AG32="",AJ32="",AK32=99999,#REF!="",#REF!="",#REF!="",#REF!="",#REF!="",#REF!="",AN32&lt;&gt;"",#REF!&lt;&gt;"",#REF!="",#REF!="",AO32&lt;&gt;"",#REF!&lt;&gt;"",#REF!="",#REF!="",#REF!="",#REF!=""),"No Bid",IF(AND(AC32=99999,OR(AF32&lt;&gt;"",AF32=99999),AG32&lt;&gt;"",AJ32&lt;&gt;"",AK32=99999,#REF!&lt;&gt;"",#REF!&lt;&gt;"",#REF!&lt;&gt;"",#REF!&lt;&gt;"",#REF!&lt;&gt;"",#REF!&lt;&gt;"",AN32&lt;&gt;"",#REF!&lt;&gt;"",#REF!="",#REF!="",AO32&lt;&gt;"",#REF!&lt;&gt;"",#REF!="",#REF!="",#REF!&lt;&gt;"",(IF((OR(#REF!="No Trans-Shipments",#REF!="")),(AND(#REF!="",#REF!="")),(IF(#REF!="1 Trans-Shipment",(AND(#REF!&lt;&gt;"",#REF!="")),(AND(#REF!&lt;&gt;"",#REF!&lt;&gt;"")))))),#REF!&lt;&gt;""),"Complete Bid","Incomplete Bid")))))</f>
        <v>#REF!</v>
      </c>
      <c r="AQ32" s="25" t="n">
        <f aca="false">(IF((F32="Door to Port"),(IF(AND(AC32="",AF32="",AG32="",AJ32="",AK32=99999,#REF!="",#REF!="",#REF!="",#REF!="",#REF!="",#REF!="",AN32="",#REF!="",#REF!="",#REF!="",AO32&lt;&gt;"",#REF!&lt;&gt;"",#REF!="",#REF!="",#REF!="",#REF!=""),"No Bid",IF(AND(AC32&lt;&gt;"",AF32&lt;&gt;"",AG32&lt;&gt;"",AJ32&lt;&gt;"",AK32=99999,#REF!&lt;&gt;"",#REF!&lt;&gt;"",#REF!&lt;&gt;"",#REF!&lt;&gt;"",#REF!&lt;&gt;"",#REF!&lt;&gt;"",AN32&lt;&gt;"",#REF!&lt;&gt;"",OR(#REF!="",#REF!&lt;&gt;""),#REF!&lt;&gt;"",AO32&lt;&gt;"",#REF!&lt;&gt;"",#REF!="",#REF!="",#REF!&lt;&gt;"",(IF((OR((#REF!="No Trans-Shipments"),(#REF!=""))),(AND(#REF!="",#REF!="")),(IF(#REF!="1 Trans-Shipment",(AND(#REF!&lt;&gt;"",#REF!="")),(AND(#REF!&lt;&gt;"",#REF!&lt;&gt;"")))))),#REF!&lt;&gt;""),"Complete Bid","Incomplete Bid")))))</f>
        <v>0</v>
      </c>
      <c r="AR32" s="25" t="n">
        <f aca="false">(IF((F32="Port to Door"),(IF(AND(AC32=99999,OR(AF32="",AF32=99999),AG32="",AJ32="",AK32="",#REF!="",#REF!="",#REF!="",#REF!="",#REF!="",#REF!="",AN32&lt;&gt;"",#REF!&lt;&gt;"",#REF!="",#REF!="",AO32="",#REF!="",#REF!="",#REF!="",#REF!="",#REF!=""),"No Bid",IF(AND(AC32=99999,OR(AF32&lt;&gt;"",AF32=99999),AG32&lt;&gt;"",AJ32&lt;&gt;"",AK32&lt;&gt;"",#REF!&lt;&gt;"",#REF!&lt;&gt;"",#REF!&lt;&gt;"",#REF!&lt;&gt;"",#REF!&lt;&gt;"",#REF!&lt;&gt;"",AN32&lt;&gt;"",#REF!&lt;&gt;"",#REF!="",#REF!="",AO32&lt;&gt;"",#REF!&lt;&gt;"",OR(#REF!&lt;&gt;"",#REF!=""),#REF!&lt;&gt;"",#REF!&lt;&gt;"",(IF((OR(#REF!="No Trans-Shipments",#REF!="")),(AND(#REF!="",#REF!="")),(IF(#REF!="1 Trans-Shipment",(AND(#REF!&lt;&gt;"",#REF!="")),(AND(#REF!&lt;&gt;"",#REF!&lt;&gt;"")))))),#REF!&lt;&gt;""),"Complete Bid","Incomplete Bid")))))</f>
        <v>0</v>
      </c>
      <c r="AS32" s="25" t="n">
        <f aca="false">(IF((F32="Door to Door"),(IF(AND(AC32="",AF32="",AG32="",AJ32="",AK32="",#REF!="",#REF!="",#REF!="",#REF!="",#REF!="",#REF!="",AN32="",#REF!="",#REF!="",#REF!="",AO32="",#REF!="",#REF!="",#REF!="",#REF!="",#REF!=""),"No Bid",IF(AND(AC32&lt;&gt;"",AF32&lt;&gt;"",AG32&lt;&gt;"",AJ32&lt;&gt;"",AK32&lt;&gt;"",#REF!&lt;&gt;"",#REF!&lt;&gt;"",#REF!&lt;&gt;"",#REF!&lt;&gt;"",#REF!&lt;&gt;"",#REF!&lt;&gt;"",AN32&lt;&gt;"",#REF!&lt;&gt;"",OR(#REF!&lt;&gt;"",#REF!=""),#REF!&lt;&gt;"",AO32&lt;&gt;"",#REF!&lt;&gt;"",OR(#REF!&lt;&gt;"",#REF!=""),#REF!&lt;&gt;"",#REF!&lt;&gt;"",(IF((OR(#REF!="No Trans-Shipments",#REF!="")),(AND(#REF!="",#REF!="")),(IF(#REF!="1 Trans-Shipment",(AND(#REF!&lt;&gt;"",#REF!="")),(AND(#REF!&lt;&gt;"",#REF!&lt;&gt;"")))))),#REF!&lt;&gt;""),"Complete Bid","Incomplete Bid")))))</f>
        <v>0</v>
      </c>
    </row>
    <row r="33" customFormat="false" ht="12.75" hidden="false" customHeight="true" outlineLevel="0" collapsed="false">
      <c r="A33" s="2" t="s">
        <v>56</v>
      </c>
      <c r="B33" s="23" t="s">
        <v>213</v>
      </c>
      <c r="C33" s="3" t="s">
        <v>58</v>
      </c>
      <c r="D33" s="3" t="s">
        <v>214</v>
      </c>
      <c r="E33" s="3" t="s">
        <v>120</v>
      </c>
      <c r="F33" s="3" t="s">
        <v>61</v>
      </c>
      <c r="G33" s="3" t="s">
        <v>146</v>
      </c>
      <c r="H33" s="3" t="s">
        <v>58</v>
      </c>
      <c r="I33" s="3" t="s">
        <v>123</v>
      </c>
      <c r="J33" s="3" t="s">
        <v>124</v>
      </c>
      <c r="K33" s="3" t="s">
        <v>58</v>
      </c>
      <c r="L33" s="3" t="s">
        <v>206</v>
      </c>
      <c r="M33" s="3" t="s">
        <v>215</v>
      </c>
      <c r="N33" s="3" t="s">
        <v>66</v>
      </c>
      <c r="O33" s="3"/>
      <c r="P33" s="3" t="s">
        <v>68</v>
      </c>
      <c r="Q33" s="3"/>
      <c r="R33" s="3" t="s">
        <v>126</v>
      </c>
      <c r="S33" s="3"/>
      <c r="T33" s="3" t="s">
        <v>208</v>
      </c>
      <c r="U33" s="3"/>
      <c r="V33" s="4" t="n">
        <v>11</v>
      </c>
      <c r="W33" s="4"/>
      <c r="X33" s="4" t="n">
        <v>14</v>
      </c>
      <c r="Y33" s="4" t="n">
        <v>7</v>
      </c>
      <c r="Z33" s="4" t="n">
        <v>14</v>
      </c>
      <c r="AA33" s="4" t="n">
        <v>7</v>
      </c>
      <c r="AB33" s="4" t="n">
        <v>40</v>
      </c>
      <c r="AC33" s="5" t="n">
        <v>99999</v>
      </c>
      <c r="AD33" s="3" t="s">
        <v>128</v>
      </c>
      <c r="AE33" s="6" t="n">
        <v>1177.1217125</v>
      </c>
      <c r="AF33" s="5" t="n">
        <v>98</v>
      </c>
      <c r="AG33" s="5" t="n">
        <v>1251</v>
      </c>
      <c r="AH33" s="3" t="s">
        <v>209</v>
      </c>
      <c r="AI33" s="6" t="n">
        <v>27.2747218333</v>
      </c>
      <c r="AJ33" s="7"/>
      <c r="AK33" s="5" t="n">
        <v>99999</v>
      </c>
      <c r="AL33" s="4" t="n">
        <f aca="false">(IF(AC33=99999,0,AC33))+((IF(AF33=99999,0,AF33))/AE33)+AG33+(AJ33/AI33)+(IF(AK33=99999,0,AK33))</f>
        <v>1251.08325392265</v>
      </c>
      <c r="AM33" s="4" t="n">
        <f aca="false">AL33+AB33</f>
        <v>1291.08325392265</v>
      </c>
      <c r="AN33" s="8" t="s">
        <v>124</v>
      </c>
      <c r="AO33" s="8" t="s">
        <v>215</v>
      </c>
      <c r="AP33" s="24" t="e">
        <f aca="false">(IF((F33="Port to Port"),(IF(AND(AC33=99999,OR(AF33="",AF33=99999),AG33="",AJ33="",AK33=99999,#REF!="",#REF!="",#REF!="",#REF!="",#REF!="",#REF!="",AN33&lt;&gt;"",#REF!&lt;&gt;"",#REF!="",#REF!="",AO33&lt;&gt;"",#REF!&lt;&gt;"",#REF!="",#REF!="",#REF!="",#REF!=""),"No Bid",IF(AND(AC33=99999,OR(AF33&lt;&gt;"",AF33=99999),AG33&lt;&gt;"",AJ33&lt;&gt;"",AK33=99999,#REF!&lt;&gt;"",#REF!&lt;&gt;"",#REF!&lt;&gt;"",#REF!&lt;&gt;"",#REF!&lt;&gt;"",#REF!&lt;&gt;"",AN33&lt;&gt;"",#REF!&lt;&gt;"",#REF!="",#REF!="",AO33&lt;&gt;"",#REF!&lt;&gt;"",#REF!="",#REF!="",#REF!&lt;&gt;"",(IF((OR(#REF!="No Trans-Shipments",#REF!="")),(AND(#REF!="",#REF!="")),(IF(#REF!="1 Trans-Shipment",(AND(#REF!&lt;&gt;"",#REF!="")),(AND(#REF!&lt;&gt;"",#REF!&lt;&gt;"")))))),#REF!&lt;&gt;""),"Complete Bid","Incomplete Bid")))))</f>
        <v>#REF!</v>
      </c>
      <c r="AQ33" s="25" t="n">
        <f aca="false">(IF((F33="Door to Port"),(IF(AND(AC33="",AF33="",AG33="",AJ33="",AK33=99999,#REF!="",#REF!="",#REF!="",#REF!="",#REF!="",#REF!="",AN33="",#REF!="",#REF!="",#REF!="",AO33&lt;&gt;"",#REF!&lt;&gt;"",#REF!="",#REF!="",#REF!="",#REF!=""),"No Bid",IF(AND(AC33&lt;&gt;"",AF33&lt;&gt;"",AG33&lt;&gt;"",AJ33&lt;&gt;"",AK33=99999,#REF!&lt;&gt;"",#REF!&lt;&gt;"",#REF!&lt;&gt;"",#REF!&lt;&gt;"",#REF!&lt;&gt;"",#REF!&lt;&gt;"",AN33&lt;&gt;"",#REF!&lt;&gt;"",OR(#REF!="",#REF!&lt;&gt;""),#REF!&lt;&gt;"",AO33&lt;&gt;"",#REF!&lt;&gt;"",#REF!="",#REF!="",#REF!&lt;&gt;"",(IF((OR((#REF!="No Trans-Shipments"),(#REF!=""))),(AND(#REF!="",#REF!="")),(IF(#REF!="1 Trans-Shipment",(AND(#REF!&lt;&gt;"",#REF!="")),(AND(#REF!&lt;&gt;"",#REF!&lt;&gt;"")))))),#REF!&lt;&gt;""),"Complete Bid","Incomplete Bid")))))</f>
        <v>0</v>
      </c>
      <c r="AR33" s="25" t="n">
        <f aca="false">(IF((F33="Port to Door"),(IF(AND(AC33=99999,OR(AF33="",AF33=99999),AG33="",AJ33="",AK33="",#REF!="",#REF!="",#REF!="",#REF!="",#REF!="",#REF!="",AN33&lt;&gt;"",#REF!&lt;&gt;"",#REF!="",#REF!="",AO33="",#REF!="",#REF!="",#REF!="",#REF!="",#REF!=""),"No Bid",IF(AND(AC33=99999,OR(AF33&lt;&gt;"",AF33=99999),AG33&lt;&gt;"",AJ33&lt;&gt;"",AK33&lt;&gt;"",#REF!&lt;&gt;"",#REF!&lt;&gt;"",#REF!&lt;&gt;"",#REF!&lt;&gt;"",#REF!&lt;&gt;"",#REF!&lt;&gt;"",AN33&lt;&gt;"",#REF!&lt;&gt;"",#REF!="",#REF!="",AO33&lt;&gt;"",#REF!&lt;&gt;"",OR(#REF!&lt;&gt;"",#REF!=""),#REF!&lt;&gt;"",#REF!&lt;&gt;"",(IF((OR(#REF!="No Trans-Shipments",#REF!="")),(AND(#REF!="",#REF!="")),(IF(#REF!="1 Trans-Shipment",(AND(#REF!&lt;&gt;"",#REF!="")),(AND(#REF!&lt;&gt;"",#REF!&lt;&gt;"")))))),#REF!&lt;&gt;""),"Complete Bid","Incomplete Bid")))))</f>
        <v>0</v>
      </c>
      <c r="AS33" s="25" t="n">
        <f aca="false">(IF((F33="Door to Door"),(IF(AND(AC33="",AF33="",AG33="",AJ33="",AK33="",#REF!="",#REF!="",#REF!="",#REF!="",#REF!="",#REF!="",AN33="",#REF!="",#REF!="",#REF!="",AO33="",#REF!="",#REF!="",#REF!="",#REF!="",#REF!=""),"No Bid",IF(AND(AC33&lt;&gt;"",AF33&lt;&gt;"",AG33&lt;&gt;"",AJ33&lt;&gt;"",AK33&lt;&gt;"",#REF!&lt;&gt;"",#REF!&lt;&gt;"",#REF!&lt;&gt;"",#REF!&lt;&gt;"",#REF!&lt;&gt;"",#REF!&lt;&gt;"",AN33&lt;&gt;"",#REF!&lt;&gt;"",OR(#REF!&lt;&gt;"",#REF!=""),#REF!&lt;&gt;"",AO33&lt;&gt;"",#REF!&lt;&gt;"",OR(#REF!&lt;&gt;"",#REF!=""),#REF!&lt;&gt;"",#REF!&lt;&gt;"",(IF((OR(#REF!="No Trans-Shipments",#REF!="")),(AND(#REF!="",#REF!="")),(IF(#REF!="1 Trans-Shipment",(AND(#REF!&lt;&gt;"",#REF!="")),(AND(#REF!&lt;&gt;"",#REF!&lt;&gt;"")))))),#REF!&lt;&gt;""),"Complete Bid","Incomplete Bid")))))</f>
        <v>0</v>
      </c>
    </row>
    <row r="34" customFormat="false" ht="12.75" hidden="false" customHeight="true" outlineLevel="0" collapsed="false">
      <c r="A34" s="2" t="s">
        <v>56</v>
      </c>
      <c r="B34" s="23" t="s">
        <v>216</v>
      </c>
      <c r="C34" s="3" t="s">
        <v>58</v>
      </c>
      <c r="D34" s="3" t="s">
        <v>217</v>
      </c>
      <c r="E34" s="3" t="s">
        <v>120</v>
      </c>
      <c r="F34" s="3" t="s">
        <v>61</v>
      </c>
      <c r="G34" s="3" t="s">
        <v>146</v>
      </c>
      <c r="H34" s="3" t="s">
        <v>58</v>
      </c>
      <c r="I34" s="3" t="s">
        <v>123</v>
      </c>
      <c r="J34" s="3" t="s">
        <v>124</v>
      </c>
      <c r="K34" s="3" t="s">
        <v>58</v>
      </c>
      <c r="L34" s="3" t="s">
        <v>206</v>
      </c>
      <c r="M34" s="3" t="s">
        <v>215</v>
      </c>
      <c r="N34" s="3" t="s">
        <v>80</v>
      </c>
      <c r="O34" s="3"/>
      <c r="P34" s="3" t="s">
        <v>68</v>
      </c>
      <c r="Q34" s="3"/>
      <c r="R34" s="3" t="s">
        <v>126</v>
      </c>
      <c r="S34" s="3"/>
      <c r="T34" s="3" t="s">
        <v>208</v>
      </c>
      <c r="U34" s="3"/>
      <c r="V34" s="4" t="n">
        <v>103</v>
      </c>
      <c r="W34" s="4" t="s">
        <v>218</v>
      </c>
      <c r="X34" s="4" t="n">
        <v>14</v>
      </c>
      <c r="Y34" s="4" t="n">
        <v>7</v>
      </c>
      <c r="Z34" s="4" t="n">
        <v>14</v>
      </c>
      <c r="AA34" s="4" t="n">
        <v>7</v>
      </c>
      <c r="AB34" s="4" t="n">
        <v>80</v>
      </c>
      <c r="AC34" s="5" t="n">
        <v>99999</v>
      </c>
      <c r="AD34" s="3" t="s">
        <v>128</v>
      </c>
      <c r="AE34" s="6" t="n">
        <v>1177.1217125</v>
      </c>
      <c r="AF34" s="5" t="n">
        <v>99</v>
      </c>
      <c r="AG34" s="5" t="n">
        <v>1252</v>
      </c>
      <c r="AH34" s="3" t="s">
        <v>209</v>
      </c>
      <c r="AI34" s="6" t="n">
        <v>27.2747218333</v>
      </c>
      <c r="AJ34" s="7"/>
      <c r="AK34" s="5" t="n">
        <v>99999</v>
      </c>
      <c r="AL34" s="4" t="n">
        <f aca="false">(IF(AC34=99999,0,AC34))+((IF(AF34=99999,0,AF34))/AE34)+AG34+(AJ34/AI34)+(IF(AK34=99999,0,AK34))</f>
        <v>1252.08410345247</v>
      </c>
      <c r="AM34" s="4" t="n">
        <f aca="false">AL34+AB34</f>
        <v>1332.08410345247</v>
      </c>
      <c r="AN34" s="8" t="s">
        <v>124</v>
      </c>
      <c r="AO34" s="8" t="s">
        <v>215</v>
      </c>
      <c r="AP34" s="24" t="e">
        <f aca="false">(IF((F34="Port to Port"),(IF(AND(AC34=99999,OR(AF34="",AF34=99999),AG34="",AJ34="",AK34=99999,#REF!="",#REF!="",#REF!="",#REF!="",#REF!="",#REF!="",AN34&lt;&gt;"",#REF!&lt;&gt;"",#REF!="",#REF!="",AO34&lt;&gt;"",#REF!&lt;&gt;"",#REF!="",#REF!="",#REF!="",#REF!=""),"No Bid",IF(AND(AC34=99999,OR(AF34&lt;&gt;"",AF34=99999),AG34&lt;&gt;"",AJ34&lt;&gt;"",AK34=99999,#REF!&lt;&gt;"",#REF!&lt;&gt;"",#REF!&lt;&gt;"",#REF!&lt;&gt;"",#REF!&lt;&gt;"",#REF!&lt;&gt;"",AN34&lt;&gt;"",#REF!&lt;&gt;"",#REF!="",#REF!="",AO34&lt;&gt;"",#REF!&lt;&gt;"",#REF!="",#REF!="",#REF!&lt;&gt;"",(IF((OR(#REF!="No Trans-Shipments",#REF!="")),(AND(#REF!="",#REF!="")),(IF(#REF!="1 Trans-Shipment",(AND(#REF!&lt;&gt;"",#REF!="")),(AND(#REF!&lt;&gt;"",#REF!&lt;&gt;"")))))),#REF!&lt;&gt;""),"Complete Bid","Incomplete Bid")))))</f>
        <v>#REF!</v>
      </c>
      <c r="AQ34" s="25" t="n">
        <f aca="false">(IF((F34="Door to Port"),(IF(AND(AC34="",AF34="",AG34="",AJ34="",AK34=99999,#REF!="",#REF!="",#REF!="",#REF!="",#REF!="",#REF!="",AN34="",#REF!="",#REF!="",#REF!="",AO34&lt;&gt;"",#REF!&lt;&gt;"",#REF!="",#REF!="",#REF!="",#REF!=""),"No Bid",IF(AND(AC34&lt;&gt;"",AF34&lt;&gt;"",AG34&lt;&gt;"",AJ34&lt;&gt;"",AK34=99999,#REF!&lt;&gt;"",#REF!&lt;&gt;"",#REF!&lt;&gt;"",#REF!&lt;&gt;"",#REF!&lt;&gt;"",#REF!&lt;&gt;"",AN34&lt;&gt;"",#REF!&lt;&gt;"",OR(#REF!="",#REF!&lt;&gt;""),#REF!&lt;&gt;"",AO34&lt;&gt;"",#REF!&lt;&gt;"",#REF!="",#REF!="",#REF!&lt;&gt;"",(IF((OR((#REF!="No Trans-Shipments"),(#REF!=""))),(AND(#REF!="",#REF!="")),(IF(#REF!="1 Trans-Shipment",(AND(#REF!&lt;&gt;"",#REF!="")),(AND(#REF!&lt;&gt;"",#REF!&lt;&gt;"")))))),#REF!&lt;&gt;""),"Complete Bid","Incomplete Bid")))))</f>
        <v>0</v>
      </c>
      <c r="AR34" s="25" t="n">
        <f aca="false">(IF((F34="Port to Door"),(IF(AND(AC34=99999,OR(AF34="",AF34=99999),AG34="",AJ34="",AK34="",#REF!="",#REF!="",#REF!="",#REF!="",#REF!="",#REF!="",AN34&lt;&gt;"",#REF!&lt;&gt;"",#REF!="",#REF!="",AO34="",#REF!="",#REF!="",#REF!="",#REF!="",#REF!=""),"No Bid",IF(AND(AC34=99999,OR(AF34&lt;&gt;"",AF34=99999),AG34&lt;&gt;"",AJ34&lt;&gt;"",AK34&lt;&gt;"",#REF!&lt;&gt;"",#REF!&lt;&gt;"",#REF!&lt;&gt;"",#REF!&lt;&gt;"",#REF!&lt;&gt;"",#REF!&lt;&gt;"",AN34&lt;&gt;"",#REF!&lt;&gt;"",#REF!="",#REF!="",AO34&lt;&gt;"",#REF!&lt;&gt;"",OR(#REF!&lt;&gt;"",#REF!=""),#REF!&lt;&gt;"",#REF!&lt;&gt;"",(IF((OR(#REF!="No Trans-Shipments",#REF!="")),(AND(#REF!="",#REF!="")),(IF(#REF!="1 Trans-Shipment",(AND(#REF!&lt;&gt;"",#REF!="")),(AND(#REF!&lt;&gt;"",#REF!&lt;&gt;"")))))),#REF!&lt;&gt;""),"Complete Bid","Incomplete Bid")))))</f>
        <v>0</v>
      </c>
      <c r="AS34" s="25" t="n">
        <f aca="false">(IF((F34="Door to Door"),(IF(AND(AC34="",AF34="",AG34="",AJ34="",AK34="",#REF!="",#REF!="",#REF!="",#REF!="",#REF!="",#REF!="",AN34="",#REF!="",#REF!="",#REF!="",AO34="",#REF!="",#REF!="",#REF!="",#REF!="",#REF!=""),"No Bid",IF(AND(AC34&lt;&gt;"",AF34&lt;&gt;"",AG34&lt;&gt;"",AJ34&lt;&gt;"",AK34&lt;&gt;"",#REF!&lt;&gt;"",#REF!&lt;&gt;"",#REF!&lt;&gt;"",#REF!&lt;&gt;"",#REF!&lt;&gt;"",#REF!&lt;&gt;"",AN34&lt;&gt;"",#REF!&lt;&gt;"",OR(#REF!&lt;&gt;"",#REF!=""),#REF!&lt;&gt;"",AO34&lt;&gt;"",#REF!&lt;&gt;"",OR(#REF!&lt;&gt;"",#REF!=""),#REF!&lt;&gt;"",#REF!&lt;&gt;"",(IF((OR(#REF!="No Trans-Shipments",#REF!="")),(AND(#REF!="",#REF!="")),(IF(#REF!="1 Trans-Shipment",(AND(#REF!&lt;&gt;"",#REF!="")),(AND(#REF!&lt;&gt;"",#REF!&lt;&gt;"")))))),#REF!&lt;&gt;""),"Complete Bid","Incomplete Bid")))))</f>
        <v>0</v>
      </c>
    </row>
    <row r="35" customFormat="false" ht="12.75" hidden="false" customHeight="true" outlineLevel="0" collapsed="false">
      <c r="A35" s="2" t="s">
        <v>56</v>
      </c>
      <c r="B35" s="23" t="s">
        <v>219</v>
      </c>
      <c r="C35" s="3" t="s">
        <v>58</v>
      </c>
      <c r="D35" s="3" t="s">
        <v>220</v>
      </c>
      <c r="E35" s="3" t="s">
        <v>120</v>
      </c>
      <c r="F35" s="3" t="s">
        <v>61</v>
      </c>
      <c r="G35" s="3" t="s">
        <v>146</v>
      </c>
      <c r="H35" s="3" t="s">
        <v>58</v>
      </c>
      <c r="I35" s="3" t="s">
        <v>123</v>
      </c>
      <c r="J35" s="3" t="s">
        <v>124</v>
      </c>
      <c r="K35" s="3" t="s">
        <v>58</v>
      </c>
      <c r="L35" s="3" t="s">
        <v>121</v>
      </c>
      <c r="M35" s="3" t="s">
        <v>221</v>
      </c>
      <c r="N35" s="3" t="s">
        <v>66</v>
      </c>
      <c r="O35" s="3"/>
      <c r="P35" s="3" t="s">
        <v>68</v>
      </c>
      <c r="Q35" s="3"/>
      <c r="R35" s="3" t="s">
        <v>126</v>
      </c>
      <c r="S35" s="3"/>
      <c r="T35" s="3" t="s">
        <v>222</v>
      </c>
      <c r="U35" s="3"/>
      <c r="V35" s="4" t="n">
        <v>54</v>
      </c>
      <c r="W35" s="4"/>
      <c r="X35" s="4" t="n">
        <v>14</v>
      </c>
      <c r="Y35" s="4" t="n">
        <v>7</v>
      </c>
      <c r="Z35" s="4" t="n">
        <v>14</v>
      </c>
      <c r="AA35" s="4" t="n">
        <v>3</v>
      </c>
      <c r="AB35" s="4" t="n">
        <v>40</v>
      </c>
      <c r="AC35" s="5" t="n">
        <v>99999</v>
      </c>
      <c r="AD35" s="3" t="s">
        <v>128</v>
      </c>
      <c r="AE35" s="6" t="n">
        <v>1177.1217125</v>
      </c>
      <c r="AF35" s="5" t="n">
        <v>100</v>
      </c>
      <c r="AG35" s="5" t="n">
        <v>1253</v>
      </c>
      <c r="AH35" s="3" t="s">
        <v>127</v>
      </c>
      <c r="AI35" s="6" t="n">
        <v>33.7258754167</v>
      </c>
      <c r="AJ35" s="7"/>
      <c r="AK35" s="5" t="n">
        <v>99999</v>
      </c>
      <c r="AL35" s="4" t="n">
        <f aca="false">(IF(AC35=99999,0,AC35))+((IF(AF35=99999,0,AF35))/AE35)+AG35+(AJ35/AI35)+(IF(AK35=99999,0,AK35))</f>
        <v>1253.08495298229</v>
      </c>
      <c r="AM35" s="4" t="n">
        <f aca="false">AL35+AB35</f>
        <v>1293.08495298229</v>
      </c>
      <c r="AN35" s="8" t="s">
        <v>124</v>
      </c>
      <c r="AO35" s="8" t="s">
        <v>221</v>
      </c>
      <c r="AP35" s="24" t="e">
        <f aca="false">(IF((F35="Port to Port"),(IF(AND(AC35=99999,OR(AF35="",AF35=99999),AG35="",AJ35="",AK35=99999,#REF!="",#REF!="",#REF!="",#REF!="",#REF!="",#REF!="",AN35&lt;&gt;"",#REF!&lt;&gt;"",#REF!="",#REF!="",AO35&lt;&gt;"",#REF!&lt;&gt;"",#REF!="",#REF!="",#REF!="",#REF!=""),"No Bid",IF(AND(AC35=99999,OR(AF35&lt;&gt;"",AF35=99999),AG35&lt;&gt;"",AJ35&lt;&gt;"",AK35=99999,#REF!&lt;&gt;"",#REF!&lt;&gt;"",#REF!&lt;&gt;"",#REF!&lt;&gt;"",#REF!&lt;&gt;"",#REF!&lt;&gt;"",AN35&lt;&gt;"",#REF!&lt;&gt;"",#REF!="",#REF!="",AO35&lt;&gt;"",#REF!&lt;&gt;"",#REF!="",#REF!="",#REF!&lt;&gt;"",(IF((OR(#REF!="No Trans-Shipments",#REF!="")),(AND(#REF!="",#REF!="")),(IF(#REF!="1 Trans-Shipment",(AND(#REF!&lt;&gt;"",#REF!="")),(AND(#REF!&lt;&gt;"",#REF!&lt;&gt;"")))))),#REF!&lt;&gt;""),"Complete Bid","Incomplete Bid")))))</f>
        <v>#REF!</v>
      </c>
      <c r="AQ35" s="25" t="n">
        <f aca="false">(IF((F35="Door to Port"),(IF(AND(AC35="",AF35="",AG35="",AJ35="",AK35=99999,#REF!="",#REF!="",#REF!="",#REF!="",#REF!="",#REF!="",AN35="",#REF!="",#REF!="",#REF!="",AO35&lt;&gt;"",#REF!&lt;&gt;"",#REF!="",#REF!="",#REF!="",#REF!=""),"No Bid",IF(AND(AC35&lt;&gt;"",AF35&lt;&gt;"",AG35&lt;&gt;"",AJ35&lt;&gt;"",AK35=99999,#REF!&lt;&gt;"",#REF!&lt;&gt;"",#REF!&lt;&gt;"",#REF!&lt;&gt;"",#REF!&lt;&gt;"",#REF!&lt;&gt;"",AN35&lt;&gt;"",#REF!&lt;&gt;"",OR(#REF!="",#REF!&lt;&gt;""),#REF!&lt;&gt;"",AO35&lt;&gt;"",#REF!&lt;&gt;"",#REF!="",#REF!="",#REF!&lt;&gt;"",(IF((OR((#REF!="No Trans-Shipments"),(#REF!=""))),(AND(#REF!="",#REF!="")),(IF(#REF!="1 Trans-Shipment",(AND(#REF!&lt;&gt;"",#REF!="")),(AND(#REF!&lt;&gt;"",#REF!&lt;&gt;"")))))),#REF!&lt;&gt;""),"Complete Bid","Incomplete Bid")))))</f>
        <v>0</v>
      </c>
      <c r="AR35" s="25" t="n">
        <f aca="false">(IF((F35="Port to Door"),(IF(AND(AC35=99999,OR(AF35="",AF35=99999),AG35="",AJ35="",AK35="",#REF!="",#REF!="",#REF!="",#REF!="",#REF!="",#REF!="",AN35&lt;&gt;"",#REF!&lt;&gt;"",#REF!="",#REF!="",AO35="",#REF!="",#REF!="",#REF!="",#REF!="",#REF!=""),"No Bid",IF(AND(AC35=99999,OR(AF35&lt;&gt;"",AF35=99999),AG35&lt;&gt;"",AJ35&lt;&gt;"",AK35&lt;&gt;"",#REF!&lt;&gt;"",#REF!&lt;&gt;"",#REF!&lt;&gt;"",#REF!&lt;&gt;"",#REF!&lt;&gt;"",#REF!&lt;&gt;"",AN35&lt;&gt;"",#REF!&lt;&gt;"",#REF!="",#REF!="",AO35&lt;&gt;"",#REF!&lt;&gt;"",OR(#REF!&lt;&gt;"",#REF!=""),#REF!&lt;&gt;"",#REF!&lt;&gt;"",(IF((OR(#REF!="No Trans-Shipments",#REF!="")),(AND(#REF!="",#REF!="")),(IF(#REF!="1 Trans-Shipment",(AND(#REF!&lt;&gt;"",#REF!="")),(AND(#REF!&lt;&gt;"",#REF!&lt;&gt;"")))))),#REF!&lt;&gt;""),"Complete Bid","Incomplete Bid")))))</f>
        <v>0</v>
      </c>
      <c r="AS35" s="25" t="n">
        <f aca="false">(IF((F35="Door to Door"),(IF(AND(AC35="",AF35="",AG35="",AJ35="",AK35="",#REF!="",#REF!="",#REF!="",#REF!="",#REF!="",#REF!="",AN35="",#REF!="",#REF!="",#REF!="",AO35="",#REF!="",#REF!="",#REF!="",#REF!="",#REF!=""),"No Bid",IF(AND(AC35&lt;&gt;"",AF35&lt;&gt;"",AG35&lt;&gt;"",AJ35&lt;&gt;"",AK35&lt;&gt;"",#REF!&lt;&gt;"",#REF!&lt;&gt;"",#REF!&lt;&gt;"",#REF!&lt;&gt;"",#REF!&lt;&gt;"",#REF!&lt;&gt;"",AN35&lt;&gt;"",#REF!&lt;&gt;"",OR(#REF!&lt;&gt;"",#REF!=""),#REF!&lt;&gt;"",AO35&lt;&gt;"",#REF!&lt;&gt;"",OR(#REF!&lt;&gt;"",#REF!=""),#REF!&lt;&gt;"",#REF!&lt;&gt;"",(IF((OR(#REF!="No Trans-Shipments",#REF!="")),(AND(#REF!="",#REF!="")),(IF(#REF!="1 Trans-Shipment",(AND(#REF!&lt;&gt;"",#REF!="")),(AND(#REF!&lt;&gt;"",#REF!&lt;&gt;"")))))),#REF!&lt;&gt;""),"Complete Bid","Incomplete Bid")))))</f>
        <v>0</v>
      </c>
    </row>
    <row r="36" customFormat="false" ht="12.75" hidden="false" customHeight="true" outlineLevel="0" collapsed="false">
      <c r="A36" s="2" t="s">
        <v>56</v>
      </c>
      <c r="B36" s="23" t="s">
        <v>223</v>
      </c>
      <c r="C36" s="3" t="s">
        <v>58</v>
      </c>
      <c r="D36" s="3" t="s">
        <v>224</v>
      </c>
      <c r="E36" s="3" t="s">
        <v>120</v>
      </c>
      <c r="F36" s="3" t="s">
        <v>61</v>
      </c>
      <c r="G36" s="3" t="s">
        <v>146</v>
      </c>
      <c r="H36" s="3" t="s">
        <v>58</v>
      </c>
      <c r="I36" s="3" t="s">
        <v>123</v>
      </c>
      <c r="J36" s="3" t="s">
        <v>124</v>
      </c>
      <c r="K36" s="3" t="s">
        <v>58</v>
      </c>
      <c r="L36" s="3" t="s">
        <v>121</v>
      </c>
      <c r="M36" s="3" t="s">
        <v>221</v>
      </c>
      <c r="N36" s="3" t="s">
        <v>80</v>
      </c>
      <c r="O36" s="3"/>
      <c r="P36" s="3" t="s">
        <v>68</v>
      </c>
      <c r="Q36" s="3"/>
      <c r="R36" s="3" t="s">
        <v>126</v>
      </c>
      <c r="S36" s="3"/>
      <c r="T36" s="3" t="s">
        <v>222</v>
      </c>
      <c r="U36" s="3"/>
      <c r="V36" s="4" t="n">
        <v>320</v>
      </c>
      <c r="W36" s="4" t="s">
        <v>225</v>
      </c>
      <c r="X36" s="4" t="n">
        <v>14</v>
      </c>
      <c r="Y36" s="4" t="n">
        <v>7</v>
      </c>
      <c r="Z36" s="4" t="n">
        <v>14</v>
      </c>
      <c r="AA36" s="4" t="n">
        <v>3</v>
      </c>
      <c r="AB36" s="4" t="n">
        <v>80</v>
      </c>
      <c r="AC36" s="5" t="n">
        <v>99999</v>
      </c>
      <c r="AD36" s="3" t="s">
        <v>128</v>
      </c>
      <c r="AE36" s="6" t="n">
        <v>1177.1217125</v>
      </c>
      <c r="AF36" s="5" t="n">
        <v>101</v>
      </c>
      <c r="AG36" s="5" t="n">
        <v>1254</v>
      </c>
      <c r="AH36" s="3" t="s">
        <v>127</v>
      </c>
      <c r="AI36" s="6" t="n">
        <v>33.7258754167</v>
      </c>
      <c r="AJ36" s="7"/>
      <c r="AK36" s="5" t="n">
        <v>99999</v>
      </c>
      <c r="AL36" s="4" t="n">
        <f aca="false">(IF(AC36=99999,0,AC36))+((IF(AF36=99999,0,AF36))/AE36)+AG36+(AJ36/AI36)+(IF(AK36=99999,0,AK36))</f>
        <v>1254.08580251212</v>
      </c>
      <c r="AM36" s="4" t="n">
        <f aca="false">AL36+AB36</f>
        <v>1334.08580251212</v>
      </c>
      <c r="AN36" s="8" t="s">
        <v>124</v>
      </c>
      <c r="AO36" s="8" t="s">
        <v>221</v>
      </c>
      <c r="AP36" s="24" t="e">
        <f aca="false">(IF((F36="Port to Port"),(IF(AND(AC36=99999,OR(AF36="",AF36=99999),AG36="",AJ36="",AK36=99999,#REF!="",#REF!="",#REF!="",#REF!="",#REF!="",#REF!="",AN36&lt;&gt;"",#REF!&lt;&gt;"",#REF!="",#REF!="",AO36&lt;&gt;"",#REF!&lt;&gt;"",#REF!="",#REF!="",#REF!="",#REF!=""),"No Bid",IF(AND(AC36=99999,OR(AF36&lt;&gt;"",AF36=99999),AG36&lt;&gt;"",AJ36&lt;&gt;"",AK36=99999,#REF!&lt;&gt;"",#REF!&lt;&gt;"",#REF!&lt;&gt;"",#REF!&lt;&gt;"",#REF!&lt;&gt;"",#REF!&lt;&gt;"",AN36&lt;&gt;"",#REF!&lt;&gt;"",#REF!="",#REF!="",AO36&lt;&gt;"",#REF!&lt;&gt;"",#REF!="",#REF!="",#REF!&lt;&gt;"",(IF((OR(#REF!="No Trans-Shipments",#REF!="")),(AND(#REF!="",#REF!="")),(IF(#REF!="1 Trans-Shipment",(AND(#REF!&lt;&gt;"",#REF!="")),(AND(#REF!&lt;&gt;"",#REF!&lt;&gt;"")))))),#REF!&lt;&gt;""),"Complete Bid","Incomplete Bid")))))</f>
        <v>#REF!</v>
      </c>
      <c r="AQ36" s="25" t="n">
        <f aca="false">(IF((F36="Door to Port"),(IF(AND(AC36="",AF36="",AG36="",AJ36="",AK36=99999,#REF!="",#REF!="",#REF!="",#REF!="",#REF!="",#REF!="",AN36="",#REF!="",#REF!="",#REF!="",AO36&lt;&gt;"",#REF!&lt;&gt;"",#REF!="",#REF!="",#REF!="",#REF!=""),"No Bid",IF(AND(AC36&lt;&gt;"",AF36&lt;&gt;"",AG36&lt;&gt;"",AJ36&lt;&gt;"",AK36=99999,#REF!&lt;&gt;"",#REF!&lt;&gt;"",#REF!&lt;&gt;"",#REF!&lt;&gt;"",#REF!&lt;&gt;"",#REF!&lt;&gt;"",AN36&lt;&gt;"",#REF!&lt;&gt;"",OR(#REF!="",#REF!&lt;&gt;""),#REF!&lt;&gt;"",AO36&lt;&gt;"",#REF!&lt;&gt;"",#REF!="",#REF!="",#REF!&lt;&gt;"",(IF((OR((#REF!="No Trans-Shipments"),(#REF!=""))),(AND(#REF!="",#REF!="")),(IF(#REF!="1 Trans-Shipment",(AND(#REF!&lt;&gt;"",#REF!="")),(AND(#REF!&lt;&gt;"",#REF!&lt;&gt;"")))))),#REF!&lt;&gt;""),"Complete Bid","Incomplete Bid")))))</f>
        <v>0</v>
      </c>
      <c r="AR36" s="25" t="n">
        <f aca="false">(IF((F36="Port to Door"),(IF(AND(AC36=99999,OR(AF36="",AF36=99999),AG36="",AJ36="",AK36="",#REF!="",#REF!="",#REF!="",#REF!="",#REF!="",#REF!="",AN36&lt;&gt;"",#REF!&lt;&gt;"",#REF!="",#REF!="",AO36="",#REF!="",#REF!="",#REF!="",#REF!="",#REF!=""),"No Bid",IF(AND(AC36=99999,OR(AF36&lt;&gt;"",AF36=99999),AG36&lt;&gt;"",AJ36&lt;&gt;"",AK36&lt;&gt;"",#REF!&lt;&gt;"",#REF!&lt;&gt;"",#REF!&lt;&gt;"",#REF!&lt;&gt;"",#REF!&lt;&gt;"",#REF!&lt;&gt;"",AN36&lt;&gt;"",#REF!&lt;&gt;"",#REF!="",#REF!="",AO36&lt;&gt;"",#REF!&lt;&gt;"",OR(#REF!&lt;&gt;"",#REF!=""),#REF!&lt;&gt;"",#REF!&lt;&gt;"",(IF((OR(#REF!="No Trans-Shipments",#REF!="")),(AND(#REF!="",#REF!="")),(IF(#REF!="1 Trans-Shipment",(AND(#REF!&lt;&gt;"",#REF!="")),(AND(#REF!&lt;&gt;"",#REF!&lt;&gt;"")))))),#REF!&lt;&gt;""),"Complete Bid","Incomplete Bid")))))</f>
        <v>0</v>
      </c>
      <c r="AS36" s="25" t="n">
        <f aca="false">(IF((F36="Door to Door"),(IF(AND(AC36="",AF36="",AG36="",AJ36="",AK36="",#REF!="",#REF!="",#REF!="",#REF!="",#REF!="",#REF!="",AN36="",#REF!="",#REF!="",#REF!="",AO36="",#REF!="",#REF!="",#REF!="",#REF!="",#REF!=""),"No Bid",IF(AND(AC36&lt;&gt;"",AF36&lt;&gt;"",AG36&lt;&gt;"",AJ36&lt;&gt;"",AK36&lt;&gt;"",#REF!&lt;&gt;"",#REF!&lt;&gt;"",#REF!&lt;&gt;"",#REF!&lt;&gt;"",#REF!&lt;&gt;"",#REF!&lt;&gt;"",AN36&lt;&gt;"",#REF!&lt;&gt;"",OR(#REF!&lt;&gt;"",#REF!=""),#REF!&lt;&gt;"",AO36&lt;&gt;"",#REF!&lt;&gt;"",OR(#REF!&lt;&gt;"",#REF!=""),#REF!&lt;&gt;"",#REF!&lt;&gt;"",(IF((OR(#REF!="No Trans-Shipments",#REF!="")),(AND(#REF!="",#REF!="")),(IF(#REF!="1 Trans-Shipment",(AND(#REF!&lt;&gt;"",#REF!="")),(AND(#REF!&lt;&gt;"",#REF!&lt;&gt;"")))))),#REF!&lt;&gt;""),"Complete Bid","Incomplete Bid")))))</f>
        <v>0</v>
      </c>
    </row>
    <row r="37" customFormat="false" ht="12.75" hidden="false" customHeight="true" outlineLevel="0" collapsed="false">
      <c r="A37" s="2" t="s">
        <v>56</v>
      </c>
      <c r="B37" s="23" t="s">
        <v>226</v>
      </c>
      <c r="C37" s="3" t="s">
        <v>58</v>
      </c>
      <c r="D37" s="3" t="s">
        <v>227</v>
      </c>
      <c r="E37" s="3" t="s">
        <v>120</v>
      </c>
      <c r="F37" s="3" t="s">
        <v>61</v>
      </c>
      <c r="G37" s="3" t="s">
        <v>146</v>
      </c>
      <c r="H37" s="3" t="s">
        <v>58</v>
      </c>
      <c r="I37" s="3" t="s">
        <v>123</v>
      </c>
      <c r="J37" s="3" t="s">
        <v>124</v>
      </c>
      <c r="K37" s="3" t="s">
        <v>58</v>
      </c>
      <c r="L37" s="3" t="s">
        <v>228</v>
      </c>
      <c r="M37" s="3" t="s">
        <v>228</v>
      </c>
      <c r="N37" s="3" t="s">
        <v>66</v>
      </c>
      <c r="O37" s="3" t="s">
        <v>67</v>
      </c>
      <c r="P37" s="3" t="s">
        <v>68</v>
      </c>
      <c r="Q37" s="3"/>
      <c r="R37" s="3" t="s">
        <v>126</v>
      </c>
      <c r="S37" s="3"/>
      <c r="T37" s="3" t="s">
        <v>229</v>
      </c>
      <c r="U37" s="3"/>
      <c r="V37" s="4" t="n">
        <v>25</v>
      </c>
      <c r="W37" s="4"/>
      <c r="X37" s="4" t="n">
        <v>14</v>
      </c>
      <c r="Y37" s="4" t="n">
        <v>7</v>
      </c>
      <c r="Z37" s="4" t="n">
        <v>14</v>
      </c>
      <c r="AA37" s="4" t="n">
        <v>7</v>
      </c>
      <c r="AB37" s="4" t="n">
        <v>40</v>
      </c>
      <c r="AC37" s="5" t="n">
        <v>99999</v>
      </c>
      <c r="AD37" s="3" t="s">
        <v>128</v>
      </c>
      <c r="AE37" s="6" t="n">
        <v>1177.1217125</v>
      </c>
      <c r="AF37" s="5" t="n">
        <v>102</v>
      </c>
      <c r="AG37" s="5" t="n">
        <v>1255</v>
      </c>
      <c r="AH37" s="3" t="s">
        <v>230</v>
      </c>
      <c r="AI37" s="6" t="n">
        <v>8.0364458</v>
      </c>
      <c r="AJ37" s="7"/>
      <c r="AK37" s="5" t="n">
        <v>99999</v>
      </c>
      <c r="AL37" s="4" t="n">
        <f aca="false">(IF(AC37=99999,0,AC37))+((IF(AF37=99999,0,AF37))/AE37)+AG37+(AJ37/AI37)+(IF(AK37=99999,0,AK37))</f>
        <v>1255.08665204194</v>
      </c>
      <c r="AM37" s="4" t="n">
        <f aca="false">AL37+AB37</f>
        <v>1295.08665204194</v>
      </c>
      <c r="AN37" s="8" t="s">
        <v>124</v>
      </c>
      <c r="AO37" s="8" t="s">
        <v>228</v>
      </c>
      <c r="AP37" s="24" t="e">
        <f aca="false">(IF((F37="Port to Port"),(IF(AND(AC37=99999,OR(AF37="",AF37=99999),AG37="",AJ37="",AK37=99999,#REF!="",#REF!="",#REF!="",#REF!="",#REF!="",#REF!="",AN37&lt;&gt;"",#REF!&lt;&gt;"",#REF!="",#REF!="",AO37&lt;&gt;"",#REF!&lt;&gt;"",#REF!="",#REF!="",#REF!="",#REF!=""),"No Bid",IF(AND(AC37=99999,OR(AF37&lt;&gt;"",AF37=99999),AG37&lt;&gt;"",AJ37&lt;&gt;"",AK37=99999,#REF!&lt;&gt;"",#REF!&lt;&gt;"",#REF!&lt;&gt;"",#REF!&lt;&gt;"",#REF!&lt;&gt;"",#REF!&lt;&gt;"",AN37&lt;&gt;"",#REF!&lt;&gt;"",#REF!="",#REF!="",AO37&lt;&gt;"",#REF!&lt;&gt;"",#REF!="",#REF!="",#REF!&lt;&gt;"",(IF((OR(#REF!="No Trans-Shipments",#REF!="")),(AND(#REF!="",#REF!="")),(IF(#REF!="1 Trans-Shipment",(AND(#REF!&lt;&gt;"",#REF!="")),(AND(#REF!&lt;&gt;"",#REF!&lt;&gt;"")))))),#REF!&lt;&gt;""),"Complete Bid","Incomplete Bid")))))</f>
        <v>#REF!</v>
      </c>
      <c r="AQ37" s="25" t="n">
        <f aca="false">(IF((F37="Door to Port"),(IF(AND(AC37="",AF37="",AG37="",AJ37="",AK37=99999,#REF!="",#REF!="",#REF!="",#REF!="",#REF!="",#REF!="",AN37="",#REF!="",#REF!="",#REF!="",AO37&lt;&gt;"",#REF!&lt;&gt;"",#REF!="",#REF!="",#REF!="",#REF!=""),"No Bid",IF(AND(AC37&lt;&gt;"",AF37&lt;&gt;"",AG37&lt;&gt;"",AJ37&lt;&gt;"",AK37=99999,#REF!&lt;&gt;"",#REF!&lt;&gt;"",#REF!&lt;&gt;"",#REF!&lt;&gt;"",#REF!&lt;&gt;"",#REF!&lt;&gt;"",AN37&lt;&gt;"",#REF!&lt;&gt;"",OR(#REF!="",#REF!&lt;&gt;""),#REF!&lt;&gt;"",AO37&lt;&gt;"",#REF!&lt;&gt;"",#REF!="",#REF!="",#REF!&lt;&gt;"",(IF((OR((#REF!="No Trans-Shipments"),(#REF!=""))),(AND(#REF!="",#REF!="")),(IF(#REF!="1 Trans-Shipment",(AND(#REF!&lt;&gt;"",#REF!="")),(AND(#REF!&lt;&gt;"",#REF!&lt;&gt;"")))))),#REF!&lt;&gt;""),"Complete Bid","Incomplete Bid")))))</f>
        <v>0</v>
      </c>
      <c r="AR37" s="25" t="n">
        <f aca="false">(IF((F37="Port to Door"),(IF(AND(AC37=99999,OR(AF37="",AF37=99999),AG37="",AJ37="",AK37="",#REF!="",#REF!="",#REF!="",#REF!="",#REF!="",#REF!="",AN37&lt;&gt;"",#REF!&lt;&gt;"",#REF!="",#REF!="",AO37="",#REF!="",#REF!="",#REF!="",#REF!="",#REF!=""),"No Bid",IF(AND(AC37=99999,OR(AF37&lt;&gt;"",AF37=99999),AG37&lt;&gt;"",AJ37&lt;&gt;"",AK37&lt;&gt;"",#REF!&lt;&gt;"",#REF!&lt;&gt;"",#REF!&lt;&gt;"",#REF!&lt;&gt;"",#REF!&lt;&gt;"",#REF!&lt;&gt;"",AN37&lt;&gt;"",#REF!&lt;&gt;"",#REF!="",#REF!="",AO37&lt;&gt;"",#REF!&lt;&gt;"",OR(#REF!&lt;&gt;"",#REF!=""),#REF!&lt;&gt;"",#REF!&lt;&gt;"",(IF((OR(#REF!="No Trans-Shipments",#REF!="")),(AND(#REF!="",#REF!="")),(IF(#REF!="1 Trans-Shipment",(AND(#REF!&lt;&gt;"",#REF!="")),(AND(#REF!&lt;&gt;"",#REF!&lt;&gt;"")))))),#REF!&lt;&gt;""),"Complete Bid","Incomplete Bid")))))</f>
        <v>0</v>
      </c>
      <c r="AS37" s="25" t="n">
        <f aca="false">(IF((F37="Door to Door"),(IF(AND(AC37="",AF37="",AG37="",AJ37="",AK37="",#REF!="",#REF!="",#REF!="",#REF!="",#REF!="",#REF!="",AN37="",#REF!="",#REF!="",#REF!="",AO37="",#REF!="",#REF!="",#REF!="",#REF!="",#REF!=""),"No Bid",IF(AND(AC37&lt;&gt;"",AF37&lt;&gt;"",AG37&lt;&gt;"",AJ37&lt;&gt;"",AK37&lt;&gt;"",#REF!&lt;&gt;"",#REF!&lt;&gt;"",#REF!&lt;&gt;"",#REF!&lt;&gt;"",#REF!&lt;&gt;"",#REF!&lt;&gt;"",AN37&lt;&gt;"",#REF!&lt;&gt;"",OR(#REF!&lt;&gt;"",#REF!=""),#REF!&lt;&gt;"",AO37&lt;&gt;"",#REF!&lt;&gt;"",OR(#REF!&lt;&gt;"",#REF!=""),#REF!&lt;&gt;"",#REF!&lt;&gt;"",(IF((OR(#REF!="No Trans-Shipments",#REF!="")),(AND(#REF!="",#REF!="")),(IF(#REF!="1 Trans-Shipment",(AND(#REF!&lt;&gt;"",#REF!="")),(AND(#REF!&lt;&gt;"",#REF!&lt;&gt;"")))))),#REF!&lt;&gt;""),"Complete Bid","Incomplete Bid")))))</f>
        <v>0</v>
      </c>
    </row>
    <row r="38" customFormat="false" ht="12.75" hidden="false" customHeight="true" outlineLevel="0" collapsed="false">
      <c r="A38" s="2" t="s">
        <v>56</v>
      </c>
      <c r="B38" s="23" t="s">
        <v>231</v>
      </c>
      <c r="C38" s="3" t="s">
        <v>58</v>
      </c>
      <c r="D38" s="3" t="s">
        <v>232</v>
      </c>
      <c r="E38" s="3" t="s">
        <v>120</v>
      </c>
      <c r="F38" s="3" t="s">
        <v>61</v>
      </c>
      <c r="G38" s="3" t="s">
        <v>146</v>
      </c>
      <c r="H38" s="3" t="s">
        <v>58</v>
      </c>
      <c r="I38" s="3" t="s">
        <v>123</v>
      </c>
      <c r="J38" s="3" t="s">
        <v>124</v>
      </c>
      <c r="K38" s="3" t="s">
        <v>58</v>
      </c>
      <c r="L38" s="3" t="s">
        <v>228</v>
      </c>
      <c r="M38" s="3" t="s">
        <v>228</v>
      </c>
      <c r="N38" s="3" t="s">
        <v>80</v>
      </c>
      <c r="O38" s="3" t="s">
        <v>67</v>
      </c>
      <c r="P38" s="3" t="s">
        <v>68</v>
      </c>
      <c r="Q38" s="3"/>
      <c r="R38" s="3" t="s">
        <v>126</v>
      </c>
      <c r="S38" s="3"/>
      <c r="T38" s="3" t="s">
        <v>229</v>
      </c>
      <c r="U38" s="3"/>
      <c r="V38" s="4" t="n">
        <v>7</v>
      </c>
      <c r="W38" s="4" t="s">
        <v>233</v>
      </c>
      <c r="X38" s="4" t="n">
        <v>14</v>
      </c>
      <c r="Y38" s="4" t="n">
        <v>7</v>
      </c>
      <c r="Z38" s="4" t="n">
        <v>14</v>
      </c>
      <c r="AA38" s="4" t="n">
        <v>7</v>
      </c>
      <c r="AB38" s="4" t="n">
        <v>80</v>
      </c>
      <c r="AC38" s="5" t="n">
        <v>99999</v>
      </c>
      <c r="AD38" s="3" t="s">
        <v>128</v>
      </c>
      <c r="AE38" s="6" t="n">
        <v>1177.1217125</v>
      </c>
      <c r="AF38" s="5" t="n">
        <v>103</v>
      </c>
      <c r="AG38" s="5" t="n">
        <v>1256</v>
      </c>
      <c r="AH38" s="3" t="s">
        <v>230</v>
      </c>
      <c r="AI38" s="6" t="n">
        <v>8.0364458</v>
      </c>
      <c r="AJ38" s="7"/>
      <c r="AK38" s="5" t="n">
        <v>99999</v>
      </c>
      <c r="AL38" s="4" t="n">
        <f aca="false">(IF(AC38=99999,0,AC38))+((IF(AF38=99999,0,AF38))/AE38)+AG38+(AJ38/AI38)+(IF(AK38=99999,0,AK38))</f>
        <v>1256.08750157176</v>
      </c>
      <c r="AM38" s="4" t="n">
        <f aca="false">AL38+AB38</f>
        <v>1336.08750157176</v>
      </c>
      <c r="AN38" s="8" t="s">
        <v>124</v>
      </c>
      <c r="AO38" s="8" t="s">
        <v>228</v>
      </c>
      <c r="AP38" s="24" t="e">
        <f aca="false">(IF((F38="Port to Port"),(IF(AND(AC38=99999,OR(AF38="",AF38=99999),AG38="",AJ38="",AK38=99999,#REF!="",#REF!="",#REF!="",#REF!="",#REF!="",#REF!="",AN38&lt;&gt;"",#REF!&lt;&gt;"",#REF!="",#REF!="",AO38&lt;&gt;"",#REF!&lt;&gt;"",#REF!="",#REF!="",#REF!="",#REF!=""),"No Bid",IF(AND(AC38=99999,OR(AF38&lt;&gt;"",AF38=99999),AG38&lt;&gt;"",AJ38&lt;&gt;"",AK38=99999,#REF!&lt;&gt;"",#REF!&lt;&gt;"",#REF!&lt;&gt;"",#REF!&lt;&gt;"",#REF!&lt;&gt;"",#REF!&lt;&gt;"",AN38&lt;&gt;"",#REF!&lt;&gt;"",#REF!="",#REF!="",AO38&lt;&gt;"",#REF!&lt;&gt;"",#REF!="",#REF!="",#REF!&lt;&gt;"",(IF((OR(#REF!="No Trans-Shipments",#REF!="")),(AND(#REF!="",#REF!="")),(IF(#REF!="1 Trans-Shipment",(AND(#REF!&lt;&gt;"",#REF!="")),(AND(#REF!&lt;&gt;"",#REF!&lt;&gt;"")))))),#REF!&lt;&gt;""),"Complete Bid","Incomplete Bid")))))</f>
        <v>#REF!</v>
      </c>
      <c r="AQ38" s="25" t="n">
        <f aca="false">(IF((F38="Door to Port"),(IF(AND(AC38="",AF38="",AG38="",AJ38="",AK38=99999,#REF!="",#REF!="",#REF!="",#REF!="",#REF!="",#REF!="",AN38="",#REF!="",#REF!="",#REF!="",AO38&lt;&gt;"",#REF!&lt;&gt;"",#REF!="",#REF!="",#REF!="",#REF!=""),"No Bid",IF(AND(AC38&lt;&gt;"",AF38&lt;&gt;"",AG38&lt;&gt;"",AJ38&lt;&gt;"",AK38=99999,#REF!&lt;&gt;"",#REF!&lt;&gt;"",#REF!&lt;&gt;"",#REF!&lt;&gt;"",#REF!&lt;&gt;"",#REF!&lt;&gt;"",AN38&lt;&gt;"",#REF!&lt;&gt;"",OR(#REF!="",#REF!&lt;&gt;""),#REF!&lt;&gt;"",AO38&lt;&gt;"",#REF!&lt;&gt;"",#REF!="",#REF!="",#REF!&lt;&gt;"",(IF((OR((#REF!="No Trans-Shipments"),(#REF!=""))),(AND(#REF!="",#REF!="")),(IF(#REF!="1 Trans-Shipment",(AND(#REF!&lt;&gt;"",#REF!="")),(AND(#REF!&lt;&gt;"",#REF!&lt;&gt;"")))))),#REF!&lt;&gt;""),"Complete Bid","Incomplete Bid")))))</f>
        <v>0</v>
      </c>
      <c r="AR38" s="25" t="n">
        <f aca="false">(IF((F38="Port to Door"),(IF(AND(AC38=99999,OR(AF38="",AF38=99999),AG38="",AJ38="",AK38="",#REF!="",#REF!="",#REF!="",#REF!="",#REF!="",#REF!="",AN38&lt;&gt;"",#REF!&lt;&gt;"",#REF!="",#REF!="",AO38="",#REF!="",#REF!="",#REF!="",#REF!="",#REF!=""),"No Bid",IF(AND(AC38=99999,OR(AF38&lt;&gt;"",AF38=99999),AG38&lt;&gt;"",AJ38&lt;&gt;"",AK38&lt;&gt;"",#REF!&lt;&gt;"",#REF!&lt;&gt;"",#REF!&lt;&gt;"",#REF!&lt;&gt;"",#REF!&lt;&gt;"",#REF!&lt;&gt;"",AN38&lt;&gt;"",#REF!&lt;&gt;"",#REF!="",#REF!="",AO38&lt;&gt;"",#REF!&lt;&gt;"",OR(#REF!&lt;&gt;"",#REF!=""),#REF!&lt;&gt;"",#REF!&lt;&gt;"",(IF((OR(#REF!="No Trans-Shipments",#REF!="")),(AND(#REF!="",#REF!="")),(IF(#REF!="1 Trans-Shipment",(AND(#REF!&lt;&gt;"",#REF!="")),(AND(#REF!&lt;&gt;"",#REF!&lt;&gt;"")))))),#REF!&lt;&gt;""),"Complete Bid","Incomplete Bid")))))</f>
        <v>0</v>
      </c>
      <c r="AS38" s="25" t="n">
        <f aca="false">(IF((F38="Door to Door"),(IF(AND(AC38="",AF38="",AG38="",AJ38="",AK38="",#REF!="",#REF!="",#REF!="",#REF!="",#REF!="",#REF!="",AN38="",#REF!="",#REF!="",#REF!="",AO38="",#REF!="",#REF!="",#REF!="",#REF!="",#REF!=""),"No Bid",IF(AND(AC38&lt;&gt;"",AF38&lt;&gt;"",AG38&lt;&gt;"",AJ38&lt;&gt;"",AK38&lt;&gt;"",#REF!&lt;&gt;"",#REF!&lt;&gt;"",#REF!&lt;&gt;"",#REF!&lt;&gt;"",#REF!&lt;&gt;"",#REF!&lt;&gt;"",AN38&lt;&gt;"",#REF!&lt;&gt;"",OR(#REF!&lt;&gt;"",#REF!=""),#REF!&lt;&gt;"",AO38&lt;&gt;"",#REF!&lt;&gt;"",OR(#REF!&lt;&gt;"",#REF!=""),#REF!&lt;&gt;"",#REF!&lt;&gt;"",(IF((OR(#REF!="No Trans-Shipments",#REF!="")),(AND(#REF!="",#REF!="")),(IF(#REF!="1 Trans-Shipment",(AND(#REF!&lt;&gt;"",#REF!="")),(AND(#REF!&lt;&gt;"",#REF!&lt;&gt;"")))))),#REF!&lt;&gt;""),"Complete Bid","Incomplete Bid")))))</f>
        <v>0</v>
      </c>
    </row>
    <row r="39" customFormat="false" ht="12.75" hidden="false" customHeight="true" outlineLevel="0" collapsed="false">
      <c r="A39" s="2" t="s">
        <v>56</v>
      </c>
      <c r="B39" s="23" t="s">
        <v>234</v>
      </c>
      <c r="C39" s="3" t="s">
        <v>58</v>
      </c>
      <c r="D39" s="3" t="s">
        <v>235</v>
      </c>
      <c r="E39" s="3" t="s">
        <v>120</v>
      </c>
      <c r="F39" s="3" t="s">
        <v>61</v>
      </c>
      <c r="G39" s="3" t="s">
        <v>146</v>
      </c>
      <c r="H39" s="3" t="s">
        <v>58</v>
      </c>
      <c r="I39" s="3" t="s">
        <v>123</v>
      </c>
      <c r="J39" s="3" t="s">
        <v>124</v>
      </c>
      <c r="K39" s="3" t="s">
        <v>58</v>
      </c>
      <c r="L39" s="3" t="s">
        <v>236</v>
      </c>
      <c r="M39" s="3" t="s">
        <v>237</v>
      </c>
      <c r="N39" s="3" t="s">
        <v>66</v>
      </c>
      <c r="O39" s="3"/>
      <c r="P39" s="3" t="s">
        <v>68</v>
      </c>
      <c r="Q39" s="3"/>
      <c r="R39" s="3" t="s">
        <v>126</v>
      </c>
      <c r="S39" s="3" t="s">
        <v>238</v>
      </c>
      <c r="T39" s="3" t="s">
        <v>155</v>
      </c>
      <c r="U39" s="3"/>
      <c r="V39" s="4" t="n">
        <v>15</v>
      </c>
      <c r="W39" s="4"/>
      <c r="X39" s="4" t="n">
        <v>14</v>
      </c>
      <c r="Y39" s="4" t="n">
        <v>7</v>
      </c>
      <c r="Z39" s="4" t="n">
        <v>14</v>
      </c>
      <c r="AA39" s="4" t="n">
        <v>7</v>
      </c>
      <c r="AB39" s="4" t="n">
        <v>40</v>
      </c>
      <c r="AC39" s="5" t="n">
        <v>99999</v>
      </c>
      <c r="AD39" s="3" t="s">
        <v>128</v>
      </c>
      <c r="AE39" s="6" t="n">
        <v>1177.1217125</v>
      </c>
      <c r="AF39" s="5" t="n">
        <v>104</v>
      </c>
      <c r="AG39" s="5" t="n">
        <v>1257</v>
      </c>
      <c r="AH39" s="3" t="s">
        <v>239</v>
      </c>
      <c r="AI39" s="6" t="n">
        <v>50.9902047083</v>
      </c>
      <c r="AJ39" s="7"/>
      <c r="AK39" s="5" t="n">
        <v>99999</v>
      </c>
      <c r="AL39" s="4" t="n">
        <f aca="false">(IF(AC39=99999,0,AC39))+((IF(AF39=99999,0,AF39))/AE39)+AG39+(AJ39/AI39)+(IF(AK39=99999,0,AK39))</f>
        <v>1257.08835110159</v>
      </c>
      <c r="AM39" s="4" t="n">
        <f aca="false">AL39+AB39</f>
        <v>1297.08835110159</v>
      </c>
      <c r="AN39" s="8" t="s">
        <v>124</v>
      </c>
      <c r="AO39" s="8" t="s">
        <v>237</v>
      </c>
      <c r="AP39" s="24" t="e">
        <f aca="false">(IF((F39="Port to Port"),(IF(AND(AC39=99999,OR(AF39="",AF39=99999),AG39="",AJ39="",AK39=99999,#REF!="",#REF!="",#REF!="",#REF!="",#REF!="",#REF!="",AN39&lt;&gt;"",#REF!&lt;&gt;"",#REF!="",#REF!="",AO39&lt;&gt;"",#REF!&lt;&gt;"",#REF!="",#REF!="",#REF!="",#REF!=""),"No Bid",IF(AND(AC39=99999,OR(AF39&lt;&gt;"",AF39=99999),AG39&lt;&gt;"",AJ39&lt;&gt;"",AK39=99999,#REF!&lt;&gt;"",#REF!&lt;&gt;"",#REF!&lt;&gt;"",#REF!&lt;&gt;"",#REF!&lt;&gt;"",#REF!&lt;&gt;"",AN39&lt;&gt;"",#REF!&lt;&gt;"",#REF!="",#REF!="",AO39&lt;&gt;"",#REF!&lt;&gt;"",#REF!="",#REF!="",#REF!&lt;&gt;"",(IF((OR(#REF!="No Trans-Shipments",#REF!="")),(AND(#REF!="",#REF!="")),(IF(#REF!="1 Trans-Shipment",(AND(#REF!&lt;&gt;"",#REF!="")),(AND(#REF!&lt;&gt;"",#REF!&lt;&gt;"")))))),#REF!&lt;&gt;""),"Complete Bid","Incomplete Bid")))))</f>
        <v>#REF!</v>
      </c>
      <c r="AQ39" s="25" t="n">
        <f aca="false">(IF((F39="Door to Port"),(IF(AND(AC39="",AF39="",AG39="",AJ39="",AK39=99999,#REF!="",#REF!="",#REF!="",#REF!="",#REF!="",#REF!="",AN39="",#REF!="",#REF!="",#REF!="",AO39&lt;&gt;"",#REF!&lt;&gt;"",#REF!="",#REF!="",#REF!="",#REF!=""),"No Bid",IF(AND(AC39&lt;&gt;"",AF39&lt;&gt;"",AG39&lt;&gt;"",AJ39&lt;&gt;"",AK39=99999,#REF!&lt;&gt;"",#REF!&lt;&gt;"",#REF!&lt;&gt;"",#REF!&lt;&gt;"",#REF!&lt;&gt;"",#REF!&lt;&gt;"",AN39&lt;&gt;"",#REF!&lt;&gt;"",OR(#REF!="",#REF!&lt;&gt;""),#REF!&lt;&gt;"",AO39&lt;&gt;"",#REF!&lt;&gt;"",#REF!="",#REF!="",#REF!&lt;&gt;"",(IF((OR((#REF!="No Trans-Shipments"),(#REF!=""))),(AND(#REF!="",#REF!="")),(IF(#REF!="1 Trans-Shipment",(AND(#REF!&lt;&gt;"",#REF!="")),(AND(#REF!&lt;&gt;"",#REF!&lt;&gt;"")))))),#REF!&lt;&gt;""),"Complete Bid","Incomplete Bid")))))</f>
        <v>0</v>
      </c>
      <c r="AR39" s="25" t="n">
        <f aca="false">(IF((F39="Port to Door"),(IF(AND(AC39=99999,OR(AF39="",AF39=99999),AG39="",AJ39="",AK39="",#REF!="",#REF!="",#REF!="",#REF!="",#REF!="",#REF!="",AN39&lt;&gt;"",#REF!&lt;&gt;"",#REF!="",#REF!="",AO39="",#REF!="",#REF!="",#REF!="",#REF!="",#REF!=""),"No Bid",IF(AND(AC39=99999,OR(AF39&lt;&gt;"",AF39=99999),AG39&lt;&gt;"",AJ39&lt;&gt;"",AK39&lt;&gt;"",#REF!&lt;&gt;"",#REF!&lt;&gt;"",#REF!&lt;&gt;"",#REF!&lt;&gt;"",#REF!&lt;&gt;"",#REF!&lt;&gt;"",AN39&lt;&gt;"",#REF!&lt;&gt;"",#REF!="",#REF!="",AO39&lt;&gt;"",#REF!&lt;&gt;"",OR(#REF!&lt;&gt;"",#REF!=""),#REF!&lt;&gt;"",#REF!&lt;&gt;"",(IF((OR(#REF!="No Trans-Shipments",#REF!="")),(AND(#REF!="",#REF!="")),(IF(#REF!="1 Trans-Shipment",(AND(#REF!&lt;&gt;"",#REF!="")),(AND(#REF!&lt;&gt;"",#REF!&lt;&gt;"")))))),#REF!&lt;&gt;""),"Complete Bid","Incomplete Bid")))))</f>
        <v>0</v>
      </c>
      <c r="AS39" s="25" t="n">
        <f aca="false">(IF((F39="Door to Door"),(IF(AND(AC39="",AF39="",AG39="",AJ39="",AK39="",#REF!="",#REF!="",#REF!="",#REF!="",#REF!="",#REF!="",AN39="",#REF!="",#REF!="",#REF!="",AO39="",#REF!="",#REF!="",#REF!="",#REF!="",#REF!=""),"No Bid",IF(AND(AC39&lt;&gt;"",AF39&lt;&gt;"",AG39&lt;&gt;"",AJ39&lt;&gt;"",AK39&lt;&gt;"",#REF!&lt;&gt;"",#REF!&lt;&gt;"",#REF!&lt;&gt;"",#REF!&lt;&gt;"",#REF!&lt;&gt;"",#REF!&lt;&gt;"",AN39&lt;&gt;"",#REF!&lt;&gt;"",OR(#REF!&lt;&gt;"",#REF!=""),#REF!&lt;&gt;"",AO39&lt;&gt;"",#REF!&lt;&gt;"",OR(#REF!&lt;&gt;"",#REF!=""),#REF!&lt;&gt;"",#REF!&lt;&gt;"",(IF((OR(#REF!="No Trans-Shipments",#REF!="")),(AND(#REF!="",#REF!="")),(IF(#REF!="1 Trans-Shipment",(AND(#REF!&lt;&gt;"",#REF!="")),(AND(#REF!&lt;&gt;"",#REF!&lt;&gt;"")))))),#REF!&lt;&gt;""),"Complete Bid","Incomplete Bid")))))</f>
        <v>0</v>
      </c>
    </row>
    <row r="40" customFormat="false" ht="12.75" hidden="false" customHeight="true" outlineLevel="0" collapsed="false">
      <c r="A40" s="2" t="s">
        <v>56</v>
      </c>
      <c r="B40" s="23" t="s">
        <v>240</v>
      </c>
      <c r="C40" s="3" t="s">
        <v>58</v>
      </c>
      <c r="D40" s="3" t="s">
        <v>241</v>
      </c>
      <c r="E40" s="3" t="s">
        <v>120</v>
      </c>
      <c r="F40" s="3" t="s">
        <v>61</v>
      </c>
      <c r="G40" s="3" t="s">
        <v>146</v>
      </c>
      <c r="H40" s="3" t="s">
        <v>58</v>
      </c>
      <c r="I40" s="3" t="s">
        <v>123</v>
      </c>
      <c r="J40" s="3" t="s">
        <v>124</v>
      </c>
      <c r="K40" s="3" t="s">
        <v>58</v>
      </c>
      <c r="L40" s="3" t="s">
        <v>236</v>
      </c>
      <c r="M40" s="3" t="s">
        <v>237</v>
      </c>
      <c r="N40" s="3" t="s">
        <v>80</v>
      </c>
      <c r="O40" s="3"/>
      <c r="P40" s="3" t="s">
        <v>68</v>
      </c>
      <c r="Q40" s="3"/>
      <c r="R40" s="3" t="s">
        <v>126</v>
      </c>
      <c r="S40" s="3" t="s">
        <v>238</v>
      </c>
      <c r="T40" s="3" t="s">
        <v>155</v>
      </c>
      <c r="U40" s="3"/>
      <c r="V40" s="4" t="n">
        <v>80</v>
      </c>
      <c r="W40" s="4" t="s">
        <v>242</v>
      </c>
      <c r="X40" s="4" t="n">
        <v>14</v>
      </c>
      <c r="Y40" s="4" t="n">
        <v>7</v>
      </c>
      <c r="Z40" s="4" t="n">
        <v>14</v>
      </c>
      <c r="AA40" s="4" t="n">
        <v>7</v>
      </c>
      <c r="AB40" s="4" t="n">
        <v>80</v>
      </c>
      <c r="AC40" s="5" t="n">
        <v>99999</v>
      </c>
      <c r="AD40" s="3" t="s">
        <v>128</v>
      </c>
      <c r="AE40" s="6" t="n">
        <v>1177.1217125</v>
      </c>
      <c r="AF40" s="5" t="n">
        <v>105</v>
      </c>
      <c r="AG40" s="5" t="n">
        <v>1258</v>
      </c>
      <c r="AH40" s="3" t="s">
        <v>239</v>
      </c>
      <c r="AI40" s="6" t="n">
        <v>50.9902047083</v>
      </c>
      <c r="AJ40" s="7"/>
      <c r="AK40" s="5" t="n">
        <v>99999</v>
      </c>
      <c r="AL40" s="4" t="n">
        <f aca="false">(IF(AC40=99999,0,AC40))+((IF(AF40=99999,0,AF40))/AE40)+AG40+(AJ40/AI40)+(IF(AK40=99999,0,AK40))</f>
        <v>1258.08920063141</v>
      </c>
      <c r="AM40" s="4" t="n">
        <f aca="false">AL40+AB40</f>
        <v>1338.08920063141</v>
      </c>
      <c r="AN40" s="8" t="s">
        <v>124</v>
      </c>
      <c r="AO40" s="8" t="s">
        <v>237</v>
      </c>
      <c r="AP40" s="24" t="e">
        <f aca="false">(IF((F40="Port to Port"),(IF(AND(AC40=99999,OR(AF40="",AF40=99999),AG40="",AJ40="",AK40=99999,#REF!="",#REF!="",#REF!="",#REF!="",#REF!="",#REF!="",AN40&lt;&gt;"",#REF!&lt;&gt;"",#REF!="",#REF!="",AO40&lt;&gt;"",#REF!&lt;&gt;"",#REF!="",#REF!="",#REF!="",#REF!=""),"No Bid",IF(AND(AC40=99999,OR(AF40&lt;&gt;"",AF40=99999),AG40&lt;&gt;"",AJ40&lt;&gt;"",AK40=99999,#REF!&lt;&gt;"",#REF!&lt;&gt;"",#REF!&lt;&gt;"",#REF!&lt;&gt;"",#REF!&lt;&gt;"",#REF!&lt;&gt;"",AN40&lt;&gt;"",#REF!&lt;&gt;"",#REF!="",#REF!="",AO40&lt;&gt;"",#REF!&lt;&gt;"",#REF!="",#REF!="",#REF!&lt;&gt;"",(IF((OR(#REF!="No Trans-Shipments",#REF!="")),(AND(#REF!="",#REF!="")),(IF(#REF!="1 Trans-Shipment",(AND(#REF!&lt;&gt;"",#REF!="")),(AND(#REF!&lt;&gt;"",#REF!&lt;&gt;"")))))),#REF!&lt;&gt;""),"Complete Bid","Incomplete Bid")))))</f>
        <v>#REF!</v>
      </c>
      <c r="AQ40" s="25" t="n">
        <f aca="false">(IF((F40="Door to Port"),(IF(AND(AC40="",AF40="",AG40="",AJ40="",AK40=99999,#REF!="",#REF!="",#REF!="",#REF!="",#REF!="",#REF!="",AN40="",#REF!="",#REF!="",#REF!="",AO40&lt;&gt;"",#REF!&lt;&gt;"",#REF!="",#REF!="",#REF!="",#REF!=""),"No Bid",IF(AND(AC40&lt;&gt;"",AF40&lt;&gt;"",AG40&lt;&gt;"",AJ40&lt;&gt;"",AK40=99999,#REF!&lt;&gt;"",#REF!&lt;&gt;"",#REF!&lt;&gt;"",#REF!&lt;&gt;"",#REF!&lt;&gt;"",#REF!&lt;&gt;"",AN40&lt;&gt;"",#REF!&lt;&gt;"",OR(#REF!="",#REF!&lt;&gt;""),#REF!&lt;&gt;"",AO40&lt;&gt;"",#REF!&lt;&gt;"",#REF!="",#REF!="",#REF!&lt;&gt;"",(IF((OR((#REF!="No Trans-Shipments"),(#REF!=""))),(AND(#REF!="",#REF!="")),(IF(#REF!="1 Trans-Shipment",(AND(#REF!&lt;&gt;"",#REF!="")),(AND(#REF!&lt;&gt;"",#REF!&lt;&gt;"")))))),#REF!&lt;&gt;""),"Complete Bid","Incomplete Bid")))))</f>
        <v>0</v>
      </c>
      <c r="AR40" s="25" t="n">
        <f aca="false">(IF((F40="Port to Door"),(IF(AND(AC40=99999,OR(AF40="",AF40=99999),AG40="",AJ40="",AK40="",#REF!="",#REF!="",#REF!="",#REF!="",#REF!="",#REF!="",AN40&lt;&gt;"",#REF!&lt;&gt;"",#REF!="",#REF!="",AO40="",#REF!="",#REF!="",#REF!="",#REF!="",#REF!=""),"No Bid",IF(AND(AC40=99999,OR(AF40&lt;&gt;"",AF40=99999),AG40&lt;&gt;"",AJ40&lt;&gt;"",AK40&lt;&gt;"",#REF!&lt;&gt;"",#REF!&lt;&gt;"",#REF!&lt;&gt;"",#REF!&lt;&gt;"",#REF!&lt;&gt;"",#REF!&lt;&gt;"",AN40&lt;&gt;"",#REF!&lt;&gt;"",#REF!="",#REF!="",AO40&lt;&gt;"",#REF!&lt;&gt;"",OR(#REF!&lt;&gt;"",#REF!=""),#REF!&lt;&gt;"",#REF!&lt;&gt;"",(IF((OR(#REF!="No Trans-Shipments",#REF!="")),(AND(#REF!="",#REF!="")),(IF(#REF!="1 Trans-Shipment",(AND(#REF!&lt;&gt;"",#REF!="")),(AND(#REF!&lt;&gt;"",#REF!&lt;&gt;"")))))),#REF!&lt;&gt;""),"Complete Bid","Incomplete Bid")))))</f>
        <v>0</v>
      </c>
      <c r="AS40" s="25" t="n">
        <f aca="false">(IF((F40="Door to Door"),(IF(AND(AC40="",AF40="",AG40="",AJ40="",AK40="",#REF!="",#REF!="",#REF!="",#REF!="",#REF!="",#REF!="",AN40="",#REF!="",#REF!="",#REF!="",AO40="",#REF!="",#REF!="",#REF!="",#REF!="",#REF!=""),"No Bid",IF(AND(AC40&lt;&gt;"",AF40&lt;&gt;"",AG40&lt;&gt;"",AJ40&lt;&gt;"",AK40&lt;&gt;"",#REF!&lt;&gt;"",#REF!&lt;&gt;"",#REF!&lt;&gt;"",#REF!&lt;&gt;"",#REF!&lt;&gt;"",#REF!&lt;&gt;"",AN40&lt;&gt;"",#REF!&lt;&gt;"",OR(#REF!&lt;&gt;"",#REF!=""),#REF!&lt;&gt;"",AO40&lt;&gt;"",#REF!&lt;&gt;"",OR(#REF!&lt;&gt;"",#REF!=""),#REF!&lt;&gt;"",#REF!&lt;&gt;"",(IF((OR(#REF!="No Trans-Shipments",#REF!="")),(AND(#REF!="",#REF!="")),(IF(#REF!="1 Trans-Shipment",(AND(#REF!&lt;&gt;"",#REF!="")),(AND(#REF!&lt;&gt;"",#REF!&lt;&gt;"")))))),#REF!&lt;&gt;""),"Complete Bid","Incomplete Bid")))))</f>
        <v>0</v>
      </c>
    </row>
    <row r="41" customFormat="false" ht="12.75" hidden="false" customHeight="true" outlineLevel="0" collapsed="false">
      <c r="A41" s="2" t="s">
        <v>56</v>
      </c>
      <c r="B41" s="23" t="s">
        <v>243</v>
      </c>
      <c r="C41" s="3" t="s">
        <v>58</v>
      </c>
      <c r="D41" s="3" t="s">
        <v>244</v>
      </c>
      <c r="E41" s="3" t="s">
        <v>145</v>
      </c>
      <c r="F41" s="3" t="s">
        <v>61</v>
      </c>
      <c r="G41" s="3" t="s">
        <v>146</v>
      </c>
      <c r="H41" s="3" t="s">
        <v>58</v>
      </c>
      <c r="I41" s="3" t="s">
        <v>123</v>
      </c>
      <c r="J41" s="3" t="s">
        <v>124</v>
      </c>
      <c r="K41" s="3" t="s">
        <v>58</v>
      </c>
      <c r="L41" s="3" t="s">
        <v>86</v>
      </c>
      <c r="M41" s="3" t="s">
        <v>245</v>
      </c>
      <c r="N41" s="3" t="s">
        <v>66</v>
      </c>
      <c r="O41" s="3"/>
      <c r="P41" s="3" t="s">
        <v>68</v>
      </c>
      <c r="Q41" s="3"/>
      <c r="R41" s="3" t="s">
        <v>126</v>
      </c>
      <c r="S41" s="3"/>
      <c r="T41" s="3" t="s">
        <v>89</v>
      </c>
      <c r="U41" s="3"/>
      <c r="V41" s="4" t="n">
        <v>16</v>
      </c>
      <c r="W41" s="4"/>
      <c r="X41" s="4" t="n">
        <v>14</v>
      </c>
      <c r="Y41" s="4" t="n">
        <v>7</v>
      </c>
      <c r="Z41" s="4" t="n">
        <v>5</v>
      </c>
      <c r="AA41" s="4" t="n">
        <v>30</v>
      </c>
      <c r="AB41" s="4" t="n">
        <v>271</v>
      </c>
      <c r="AC41" s="5" t="n">
        <v>99999</v>
      </c>
      <c r="AD41" s="3" t="s">
        <v>128</v>
      </c>
      <c r="AE41" s="6" t="n">
        <v>1177.1217125</v>
      </c>
      <c r="AF41" s="5" t="n">
        <v>106</v>
      </c>
      <c r="AG41" s="5" t="n">
        <v>1259</v>
      </c>
      <c r="AH41" s="3" t="s">
        <v>91</v>
      </c>
      <c r="AI41" s="6" t="n">
        <v>1.3964683333</v>
      </c>
      <c r="AJ41" s="7"/>
      <c r="AK41" s="5" t="n">
        <v>99999</v>
      </c>
      <c r="AL41" s="4" t="n">
        <f aca="false">(IF(AC41=99999,0,AC41))+((IF(AF41=99999,0,AF41))/AE41)+AG41+(AJ41/AI41)+(IF(AK41=99999,0,AK41))</f>
        <v>1259.09005016123</v>
      </c>
      <c r="AM41" s="4" t="n">
        <f aca="false">AL41+AB41</f>
        <v>1530.09005016123</v>
      </c>
      <c r="AN41" s="8" t="s">
        <v>124</v>
      </c>
      <c r="AO41" s="8" t="s">
        <v>245</v>
      </c>
      <c r="AP41" s="24" t="e">
        <f aca="false">(IF((F41="Port to Port"),(IF(AND(AC41=99999,OR(AF41="",AF41=99999),AG41="",AJ41="",AK41=99999,#REF!="",#REF!="",#REF!="",#REF!="",#REF!="",#REF!="",AN41&lt;&gt;"",#REF!&lt;&gt;"",#REF!="",#REF!="",AO41&lt;&gt;"",#REF!&lt;&gt;"",#REF!="",#REF!="",#REF!="",#REF!=""),"No Bid",IF(AND(AC41=99999,OR(AF41&lt;&gt;"",AF41=99999),AG41&lt;&gt;"",AJ41&lt;&gt;"",AK41=99999,#REF!&lt;&gt;"",#REF!&lt;&gt;"",#REF!&lt;&gt;"",#REF!&lt;&gt;"",#REF!&lt;&gt;"",#REF!&lt;&gt;"",AN41&lt;&gt;"",#REF!&lt;&gt;"",#REF!="",#REF!="",AO41&lt;&gt;"",#REF!&lt;&gt;"",#REF!="",#REF!="",#REF!&lt;&gt;"",(IF((OR(#REF!="No Trans-Shipments",#REF!="")),(AND(#REF!="",#REF!="")),(IF(#REF!="1 Trans-Shipment",(AND(#REF!&lt;&gt;"",#REF!="")),(AND(#REF!&lt;&gt;"",#REF!&lt;&gt;"")))))),#REF!&lt;&gt;""),"Complete Bid","Incomplete Bid")))))</f>
        <v>#REF!</v>
      </c>
      <c r="AQ41" s="25" t="n">
        <f aca="false">(IF((F41="Door to Port"),(IF(AND(AC41="",AF41="",AG41="",AJ41="",AK41=99999,#REF!="",#REF!="",#REF!="",#REF!="",#REF!="",#REF!="",AN41="",#REF!="",#REF!="",#REF!="",AO41&lt;&gt;"",#REF!&lt;&gt;"",#REF!="",#REF!="",#REF!="",#REF!=""),"No Bid",IF(AND(AC41&lt;&gt;"",AF41&lt;&gt;"",AG41&lt;&gt;"",AJ41&lt;&gt;"",AK41=99999,#REF!&lt;&gt;"",#REF!&lt;&gt;"",#REF!&lt;&gt;"",#REF!&lt;&gt;"",#REF!&lt;&gt;"",#REF!&lt;&gt;"",AN41&lt;&gt;"",#REF!&lt;&gt;"",OR(#REF!="",#REF!&lt;&gt;""),#REF!&lt;&gt;"",AO41&lt;&gt;"",#REF!&lt;&gt;"",#REF!="",#REF!="",#REF!&lt;&gt;"",(IF((OR((#REF!="No Trans-Shipments"),(#REF!=""))),(AND(#REF!="",#REF!="")),(IF(#REF!="1 Trans-Shipment",(AND(#REF!&lt;&gt;"",#REF!="")),(AND(#REF!&lt;&gt;"",#REF!&lt;&gt;"")))))),#REF!&lt;&gt;""),"Complete Bid","Incomplete Bid")))))</f>
        <v>0</v>
      </c>
      <c r="AR41" s="25" t="n">
        <f aca="false">(IF((F41="Port to Door"),(IF(AND(AC41=99999,OR(AF41="",AF41=99999),AG41="",AJ41="",AK41="",#REF!="",#REF!="",#REF!="",#REF!="",#REF!="",#REF!="",AN41&lt;&gt;"",#REF!&lt;&gt;"",#REF!="",#REF!="",AO41="",#REF!="",#REF!="",#REF!="",#REF!="",#REF!=""),"No Bid",IF(AND(AC41=99999,OR(AF41&lt;&gt;"",AF41=99999),AG41&lt;&gt;"",AJ41&lt;&gt;"",AK41&lt;&gt;"",#REF!&lt;&gt;"",#REF!&lt;&gt;"",#REF!&lt;&gt;"",#REF!&lt;&gt;"",#REF!&lt;&gt;"",#REF!&lt;&gt;"",AN41&lt;&gt;"",#REF!&lt;&gt;"",#REF!="",#REF!="",AO41&lt;&gt;"",#REF!&lt;&gt;"",OR(#REF!&lt;&gt;"",#REF!=""),#REF!&lt;&gt;"",#REF!&lt;&gt;"",(IF((OR(#REF!="No Trans-Shipments",#REF!="")),(AND(#REF!="",#REF!="")),(IF(#REF!="1 Trans-Shipment",(AND(#REF!&lt;&gt;"",#REF!="")),(AND(#REF!&lt;&gt;"",#REF!&lt;&gt;"")))))),#REF!&lt;&gt;""),"Complete Bid","Incomplete Bid")))))</f>
        <v>0</v>
      </c>
      <c r="AS41" s="25" t="n">
        <f aca="false">(IF((F41="Door to Door"),(IF(AND(AC41="",AF41="",AG41="",AJ41="",AK41="",#REF!="",#REF!="",#REF!="",#REF!="",#REF!="",#REF!="",AN41="",#REF!="",#REF!="",#REF!="",AO41="",#REF!="",#REF!="",#REF!="",#REF!="",#REF!=""),"No Bid",IF(AND(AC41&lt;&gt;"",AF41&lt;&gt;"",AG41&lt;&gt;"",AJ41&lt;&gt;"",AK41&lt;&gt;"",#REF!&lt;&gt;"",#REF!&lt;&gt;"",#REF!&lt;&gt;"",#REF!&lt;&gt;"",#REF!&lt;&gt;"",#REF!&lt;&gt;"",AN41&lt;&gt;"",#REF!&lt;&gt;"",OR(#REF!&lt;&gt;"",#REF!=""),#REF!&lt;&gt;"",AO41&lt;&gt;"",#REF!&lt;&gt;"",OR(#REF!&lt;&gt;"",#REF!=""),#REF!&lt;&gt;"",#REF!&lt;&gt;"",(IF((OR(#REF!="No Trans-Shipments",#REF!="")),(AND(#REF!="",#REF!="")),(IF(#REF!="1 Trans-Shipment",(AND(#REF!&lt;&gt;"",#REF!="")),(AND(#REF!&lt;&gt;"",#REF!&lt;&gt;"")))))),#REF!&lt;&gt;""),"Complete Bid","Incomplete Bid")))))</f>
        <v>0</v>
      </c>
    </row>
    <row r="42" customFormat="false" ht="12.75" hidden="false" customHeight="true" outlineLevel="0" collapsed="false">
      <c r="A42" s="2" t="s">
        <v>56</v>
      </c>
      <c r="B42" s="23" t="s">
        <v>246</v>
      </c>
      <c r="C42" s="3" t="s">
        <v>58</v>
      </c>
      <c r="D42" s="3" t="s">
        <v>247</v>
      </c>
      <c r="E42" s="3" t="s">
        <v>145</v>
      </c>
      <c r="F42" s="3" t="s">
        <v>61</v>
      </c>
      <c r="G42" s="3" t="s">
        <v>146</v>
      </c>
      <c r="H42" s="3" t="s">
        <v>58</v>
      </c>
      <c r="I42" s="3" t="s">
        <v>123</v>
      </c>
      <c r="J42" s="3" t="s">
        <v>124</v>
      </c>
      <c r="K42" s="3" t="s">
        <v>58</v>
      </c>
      <c r="L42" s="3" t="s">
        <v>86</v>
      </c>
      <c r="M42" s="3" t="s">
        <v>245</v>
      </c>
      <c r="N42" s="3" t="s">
        <v>80</v>
      </c>
      <c r="O42" s="3"/>
      <c r="P42" s="3" t="s">
        <v>68</v>
      </c>
      <c r="Q42" s="3"/>
      <c r="R42" s="3" t="s">
        <v>248</v>
      </c>
      <c r="S42" s="3"/>
      <c r="T42" s="3" t="s">
        <v>249</v>
      </c>
      <c r="U42" s="3"/>
      <c r="V42" s="4" t="n">
        <v>377</v>
      </c>
      <c r="W42" s="4" t="s">
        <v>250</v>
      </c>
      <c r="X42" s="4" t="n">
        <v>14</v>
      </c>
      <c r="Y42" s="4" t="n">
        <v>7</v>
      </c>
      <c r="Z42" s="4" t="n">
        <v>5</v>
      </c>
      <c r="AA42" s="4" t="n">
        <v>30</v>
      </c>
      <c r="AB42" s="4" t="n">
        <v>542</v>
      </c>
      <c r="AC42" s="5" t="n">
        <v>99999</v>
      </c>
      <c r="AD42" s="3" t="s">
        <v>128</v>
      </c>
      <c r="AE42" s="6" t="n">
        <v>1177.1217125</v>
      </c>
      <c r="AF42" s="5" t="n">
        <v>107</v>
      </c>
      <c r="AG42" s="5" t="n">
        <v>1260</v>
      </c>
      <c r="AH42" s="3" t="s">
        <v>91</v>
      </c>
      <c r="AI42" s="6" t="n">
        <v>1.3964683333</v>
      </c>
      <c r="AJ42" s="7"/>
      <c r="AK42" s="5" t="n">
        <v>99999</v>
      </c>
      <c r="AL42" s="4" t="n">
        <f aca="false">(IF(AC42=99999,0,AC42))+((IF(AF42=99999,0,AF42))/AE42)+AG42+(AJ42/AI42)+(IF(AK42=99999,0,AK42))</f>
        <v>1260.09089969105</v>
      </c>
      <c r="AM42" s="4" t="n">
        <f aca="false">AL42+AB42</f>
        <v>1802.09089969105</v>
      </c>
      <c r="AN42" s="8" t="s">
        <v>124</v>
      </c>
      <c r="AO42" s="8" t="s">
        <v>245</v>
      </c>
      <c r="AP42" s="24" t="e">
        <f aca="false">(IF((F42="Port to Port"),(IF(AND(AC42=99999,OR(AF42="",AF42=99999),AG42="",AJ42="",AK42=99999,#REF!="",#REF!="",#REF!="",#REF!="",#REF!="",#REF!="",AN42&lt;&gt;"",#REF!&lt;&gt;"",#REF!="",#REF!="",AO42&lt;&gt;"",#REF!&lt;&gt;"",#REF!="",#REF!="",#REF!="",#REF!=""),"No Bid",IF(AND(AC42=99999,OR(AF42&lt;&gt;"",AF42=99999),AG42&lt;&gt;"",AJ42&lt;&gt;"",AK42=99999,#REF!&lt;&gt;"",#REF!&lt;&gt;"",#REF!&lt;&gt;"",#REF!&lt;&gt;"",#REF!&lt;&gt;"",#REF!&lt;&gt;"",AN42&lt;&gt;"",#REF!&lt;&gt;"",#REF!="",#REF!="",AO42&lt;&gt;"",#REF!&lt;&gt;"",#REF!="",#REF!="",#REF!&lt;&gt;"",(IF((OR(#REF!="No Trans-Shipments",#REF!="")),(AND(#REF!="",#REF!="")),(IF(#REF!="1 Trans-Shipment",(AND(#REF!&lt;&gt;"",#REF!="")),(AND(#REF!&lt;&gt;"",#REF!&lt;&gt;"")))))),#REF!&lt;&gt;""),"Complete Bid","Incomplete Bid")))))</f>
        <v>#REF!</v>
      </c>
      <c r="AQ42" s="25" t="n">
        <f aca="false">(IF((F42="Door to Port"),(IF(AND(AC42="",AF42="",AG42="",AJ42="",AK42=99999,#REF!="",#REF!="",#REF!="",#REF!="",#REF!="",#REF!="",AN42="",#REF!="",#REF!="",#REF!="",AO42&lt;&gt;"",#REF!&lt;&gt;"",#REF!="",#REF!="",#REF!="",#REF!=""),"No Bid",IF(AND(AC42&lt;&gt;"",AF42&lt;&gt;"",AG42&lt;&gt;"",AJ42&lt;&gt;"",AK42=99999,#REF!&lt;&gt;"",#REF!&lt;&gt;"",#REF!&lt;&gt;"",#REF!&lt;&gt;"",#REF!&lt;&gt;"",#REF!&lt;&gt;"",AN42&lt;&gt;"",#REF!&lt;&gt;"",OR(#REF!="",#REF!&lt;&gt;""),#REF!&lt;&gt;"",AO42&lt;&gt;"",#REF!&lt;&gt;"",#REF!="",#REF!="",#REF!&lt;&gt;"",(IF((OR((#REF!="No Trans-Shipments"),(#REF!=""))),(AND(#REF!="",#REF!="")),(IF(#REF!="1 Trans-Shipment",(AND(#REF!&lt;&gt;"",#REF!="")),(AND(#REF!&lt;&gt;"",#REF!&lt;&gt;"")))))),#REF!&lt;&gt;""),"Complete Bid","Incomplete Bid")))))</f>
        <v>0</v>
      </c>
      <c r="AR42" s="25" t="n">
        <f aca="false">(IF((F42="Port to Door"),(IF(AND(AC42=99999,OR(AF42="",AF42=99999),AG42="",AJ42="",AK42="",#REF!="",#REF!="",#REF!="",#REF!="",#REF!="",#REF!="",AN42&lt;&gt;"",#REF!&lt;&gt;"",#REF!="",#REF!="",AO42="",#REF!="",#REF!="",#REF!="",#REF!="",#REF!=""),"No Bid",IF(AND(AC42=99999,OR(AF42&lt;&gt;"",AF42=99999),AG42&lt;&gt;"",AJ42&lt;&gt;"",AK42&lt;&gt;"",#REF!&lt;&gt;"",#REF!&lt;&gt;"",#REF!&lt;&gt;"",#REF!&lt;&gt;"",#REF!&lt;&gt;"",#REF!&lt;&gt;"",AN42&lt;&gt;"",#REF!&lt;&gt;"",#REF!="",#REF!="",AO42&lt;&gt;"",#REF!&lt;&gt;"",OR(#REF!&lt;&gt;"",#REF!=""),#REF!&lt;&gt;"",#REF!&lt;&gt;"",(IF((OR(#REF!="No Trans-Shipments",#REF!="")),(AND(#REF!="",#REF!="")),(IF(#REF!="1 Trans-Shipment",(AND(#REF!&lt;&gt;"",#REF!="")),(AND(#REF!&lt;&gt;"",#REF!&lt;&gt;"")))))),#REF!&lt;&gt;""),"Complete Bid","Incomplete Bid")))))</f>
        <v>0</v>
      </c>
      <c r="AS42" s="25" t="n">
        <f aca="false">(IF((F42="Door to Door"),(IF(AND(AC42="",AF42="",AG42="",AJ42="",AK42="",#REF!="",#REF!="",#REF!="",#REF!="",#REF!="",#REF!="",AN42="",#REF!="",#REF!="",#REF!="",AO42="",#REF!="",#REF!="",#REF!="",#REF!="",#REF!=""),"No Bid",IF(AND(AC42&lt;&gt;"",AF42&lt;&gt;"",AG42&lt;&gt;"",AJ42&lt;&gt;"",AK42&lt;&gt;"",#REF!&lt;&gt;"",#REF!&lt;&gt;"",#REF!&lt;&gt;"",#REF!&lt;&gt;"",#REF!&lt;&gt;"",#REF!&lt;&gt;"",AN42&lt;&gt;"",#REF!&lt;&gt;"",OR(#REF!&lt;&gt;"",#REF!=""),#REF!&lt;&gt;"",AO42&lt;&gt;"",#REF!&lt;&gt;"",OR(#REF!&lt;&gt;"",#REF!=""),#REF!&lt;&gt;"",#REF!&lt;&gt;"",(IF((OR(#REF!="No Trans-Shipments",#REF!="")),(AND(#REF!="",#REF!="")),(IF(#REF!="1 Trans-Shipment",(AND(#REF!&lt;&gt;"",#REF!="")),(AND(#REF!&lt;&gt;"",#REF!&lt;&gt;"")))))),#REF!&lt;&gt;""),"Complete Bid","Incomplete Bid")))))</f>
        <v>0</v>
      </c>
    </row>
    <row r="43" customFormat="false" ht="12.75" hidden="false" customHeight="true" outlineLevel="0" collapsed="false">
      <c r="A43" s="2" t="s">
        <v>56</v>
      </c>
      <c r="B43" s="23" t="s">
        <v>251</v>
      </c>
      <c r="C43" s="3" t="s">
        <v>58</v>
      </c>
      <c r="D43" s="3" t="s">
        <v>252</v>
      </c>
      <c r="E43" s="3" t="s">
        <v>253</v>
      </c>
      <c r="F43" s="3" t="s">
        <v>61</v>
      </c>
      <c r="G43" s="3" t="s">
        <v>254</v>
      </c>
      <c r="H43" s="3" t="s">
        <v>58</v>
      </c>
      <c r="I43" s="3" t="s">
        <v>123</v>
      </c>
      <c r="J43" s="3" t="s">
        <v>124</v>
      </c>
      <c r="K43" s="3" t="s">
        <v>58</v>
      </c>
      <c r="L43" s="3" t="s">
        <v>255</v>
      </c>
      <c r="M43" s="3" t="s">
        <v>256</v>
      </c>
      <c r="N43" s="3" t="s">
        <v>66</v>
      </c>
      <c r="O43" s="3" t="s">
        <v>257</v>
      </c>
      <c r="P43" s="3" t="s">
        <v>68</v>
      </c>
      <c r="Q43" s="3"/>
      <c r="R43" s="3" t="s">
        <v>258</v>
      </c>
      <c r="S43" s="3" t="s">
        <v>259</v>
      </c>
      <c r="T43" s="3" t="s">
        <v>260</v>
      </c>
      <c r="U43" s="3" t="s">
        <v>261</v>
      </c>
      <c r="V43" s="4" t="n">
        <v>534</v>
      </c>
      <c r="W43" s="4"/>
      <c r="X43" s="4" t="n">
        <v>14</v>
      </c>
      <c r="Y43" s="4" t="n">
        <v>7</v>
      </c>
      <c r="Z43" s="4" t="n">
        <v>5</v>
      </c>
      <c r="AA43" s="4" t="n">
        <v>21</v>
      </c>
      <c r="AB43" s="4" t="n">
        <v>271</v>
      </c>
      <c r="AC43" s="5" t="n">
        <v>99999</v>
      </c>
      <c r="AD43" s="3" t="s">
        <v>128</v>
      </c>
      <c r="AE43" s="6" t="n">
        <v>1177.1217125</v>
      </c>
      <c r="AF43" s="5" t="n">
        <v>108</v>
      </c>
      <c r="AG43" s="5" t="n">
        <v>1261</v>
      </c>
      <c r="AH43" s="3" t="s">
        <v>262</v>
      </c>
      <c r="AI43" s="6" t="n">
        <v>76.7508395833</v>
      </c>
      <c r="AJ43" s="7"/>
      <c r="AK43" s="5" t="n">
        <v>99999</v>
      </c>
      <c r="AL43" s="4" t="n">
        <f aca="false">(IF(AC43=99999,0,AC43))+((IF(AF43=99999,0,AF43))/AE43)+AG43+(AJ43/AI43)+(IF(AK43=99999,0,AK43))</f>
        <v>1261.09174922088</v>
      </c>
      <c r="AM43" s="4" t="n">
        <f aca="false">AL43+AB43</f>
        <v>1532.09174922088</v>
      </c>
      <c r="AN43" s="8" t="s">
        <v>124</v>
      </c>
      <c r="AO43" s="8" t="s">
        <v>256</v>
      </c>
      <c r="AP43" s="24" t="e">
        <f aca="false">(IF((F43="Port to Port"),(IF(AND(AC43=99999,OR(AF43="",AF43=99999),AG43="",AJ43="",AK43=99999,#REF!="",#REF!="",#REF!="",#REF!="",#REF!="",#REF!="",AN43&lt;&gt;"",#REF!&lt;&gt;"",#REF!="",#REF!="",AO43&lt;&gt;"",#REF!&lt;&gt;"",#REF!="",#REF!="",#REF!="",#REF!=""),"No Bid",IF(AND(AC43=99999,OR(AF43&lt;&gt;"",AF43=99999),AG43&lt;&gt;"",AJ43&lt;&gt;"",AK43=99999,#REF!&lt;&gt;"",#REF!&lt;&gt;"",#REF!&lt;&gt;"",#REF!&lt;&gt;"",#REF!&lt;&gt;"",#REF!&lt;&gt;"",AN43&lt;&gt;"",#REF!&lt;&gt;"",#REF!="",#REF!="",AO43&lt;&gt;"",#REF!&lt;&gt;"",#REF!="",#REF!="",#REF!&lt;&gt;"",(IF((OR(#REF!="No Trans-Shipments",#REF!="")),(AND(#REF!="",#REF!="")),(IF(#REF!="1 Trans-Shipment",(AND(#REF!&lt;&gt;"",#REF!="")),(AND(#REF!&lt;&gt;"",#REF!&lt;&gt;"")))))),#REF!&lt;&gt;""),"Complete Bid","Incomplete Bid")))))</f>
        <v>#REF!</v>
      </c>
      <c r="AQ43" s="25" t="n">
        <f aca="false">(IF((F43="Door to Port"),(IF(AND(AC43="",AF43="",AG43="",AJ43="",AK43=99999,#REF!="",#REF!="",#REF!="",#REF!="",#REF!="",#REF!="",AN43="",#REF!="",#REF!="",#REF!="",AO43&lt;&gt;"",#REF!&lt;&gt;"",#REF!="",#REF!="",#REF!="",#REF!=""),"No Bid",IF(AND(AC43&lt;&gt;"",AF43&lt;&gt;"",AG43&lt;&gt;"",AJ43&lt;&gt;"",AK43=99999,#REF!&lt;&gt;"",#REF!&lt;&gt;"",#REF!&lt;&gt;"",#REF!&lt;&gt;"",#REF!&lt;&gt;"",#REF!&lt;&gt;"",AN43&lt;&gt;"",#REF!&lt;&gt;"",OR(#REF!="",#REF!&lt;&gt;""),#REF!&lt;&gt;"",AO43&lt;&gt;"",#REF!&lt;&gt;"",#REF!="",#REF!="",#REF!&lt;&gt;"",(IF((OR((#REF!="No Trans-Shipments"),(#REF!=""))),(AND(#REF!="",#REF!="")),(IF(#REF!="1 Trans-Shipment",(AND(#REF!&lt;&gt;"",#REF!="")),(AND(#REF!&lt;&gt;"",#REF!&lt;&gt;"")))))),#REF!&lt;&gt;""),"Complete Bid","Incomplete Bid")))))</f>
        <v>0</v>
      </c>
      <c r="AR43" s="25" t="n">
        <f aca="false">(IF((F43="Port to Door"),(IF(AND(AC43=99999,OR(AF43="",AF43=99999),AG43="",AJ43="",AK43="",#REF!="",#REF!="",#REF!="",#REF!="",#REF!="",#REF!="",AN43&lt;&gt;"",#REF!&lt;&gt;"",#REF!="",#REF!="",AO43="",#REF!="",#REF!="",#REF!="",#REF!="",#REF!=""),"No Bid",IF(AND(AC43=99999,OR(AF43&lt;&gt;"",AF43=99999),AG43&lt;&gt;"",AJ43&lt;&gt;"",AK43&lt;&gt;"",#REF!&lt;&gt;"",#REF!&lt;&gt;"",#REF!&lt;&gt;"",#REF!&lt;&gt;"",#REF!&lt;&gt;"",#REF!&lt;&gt;"",AN43&lt;&gt;"",#REF!&lt;&gt;"",#REF!="",#REF!="",AO43&lt;&gt;"",#REF!&lt;&gt;"",OR(#REF!&lt;&gt;"",#REF!=""),#REF!&lt;&gt;"",#REF!&lt;&gt;"",(IF((OR(#REF!="No Trans-Shipments",#REF!="")),(AND(#REF!="",#REF!="")),(IF(#REF!="1 Trans-Shipment",(AND(#REF!&lt;&gt;"",#REF!="")),(AND(#REF!&lt;&gt;"",#REF!&lt;&gt;"")))))),#REF!&lt;&gt;""),"Complete Bid","Incomplete Bid")))))</f>
        <v>0</v>
      </c>
      <c r="AS43" s="25" t="n">
        <f aca="false">(IF((F43="Door to Door"),(IF(AND(AC43="",AF43="",AG43="",AJ43="",AK43="",#REF!="",#REF!="",#REF!="",#REF!="",#REF!="",#REF!="",AN43="",#REF!="",#REF!="",#REF!="",AO43="",#REF!="",#REF!="",#REF!="",#REF!="",#REF!=""),"No Bid",IF(AND(AC43&lt;&gt;"",AF43&lt;&gt;"",AG43&lt;&gt;"",AJ43&lt;&gt;"",AK43&lt;&gt;"",#REF!&lt;&gt;"",#REF!&lt;&gt;"",#REF!&lt;&gt;"",#REF!&lt;&gt;"",#REF!&lt;&gt;"",#REF!&lt;&gt;"",AN43&lt;&gt;"",#REF!&lt;&gt;"",OR(#REF!&lt;&gt;"",#REF!=""),#REF!&lt;&gt;"",AO43&lt;&gt;"",#REF!&lt;&gt;"",OR(#REF!&lt;&gt;"",#REF!=""),#REF!&lt;&gt;"",#REF!&lt;&gt;"",(IF((OR(#REF!="No Trans-Shipments",#REF!="")),(AND(#REF!="",#REF!="")),(IF(#REF!="1 Trans-Shipment",(AND(#REF!&lt;&gt;"",#REF!="")),(AND(#REF!&lt;&gt;"",#REF!&lt;&gt;"")))))),#REF!&lt;&gt;""),"Complete Bid","Incomplete Bid")))))</f>
        <v>0</v>
      </c>
    </row>
    <row r="44" customFormat="false" ht="12.75" hidden="false" customHeight="true" outlineLevel="0" collapsed="false">
      <c r="A44" s="2" t="s">
        <v>56</v>
      </c>
      <c r="B44" s="23" t="s">
        <v>263</v>
      </c>
      <c r="C44" s="3" t="s">
        <v>58</v>
      </c>
      <c r="D44" s="3" t="s">
        <v>264</v>
      </c>
      <c r="E44" s="3" t="s">
        <v>253</v>
      </c>
      <c r="F44" s="3" t="s">
        <v>61</v>
      </c>
      <c r="G44" s="3" t="s">
        <v>146</v>
      </c>
      <c r="H44" s="3" t="s">
        <v>58</v>
      </c>
      <c r="I44" s="3" t="s">
        <v>123</v>
      </c>
      <c r="J44" s="3" t="s">
        <v>124</v>
      </c>
      <c r="K44" s="3" t="s">
        <v>58</v>
      </c>
      <c r="L44" s="3" t="s">
        <v>255</v>
      </c>
      <c r="M44" s="3" t="s">
        <v>256</v>
      </c>
      <c r="N44" s="3" t="s">
        <v>80</v>
      </c>
      <c r="O44" s="3" t="s">
        <v>257</v>
      </c>
      <c r="P44" s="3" t="s">
        <v>68</v>
      </c>
      <c r="Q44" s="3"/>
      <c r="R44" s="3" t="s">
        <v>265</v>
      </c>
      <c r="S44" s="3" t="s">
        <v>266</v>
      </c>
      <c r="T44" s="3" t="s">
        <v>260</v>
      </c>
      <c r="U44" s="3" t="s">
        <v>261</v>
      </c>
      <c r="V44" s="4" t="n">
        <v>588</v>
      </c>
      <c r="W44" s="4" t="s">
        <v>267</v>
      </c>
      <c r="X44" s="4" t="n">
        <v>14</v>
      </c>
      <c r="Y44" s="4" t="n">
        <v>7</v>
      </c>
      <c r="Z44" s="4" t="n">
        <v>5</v>
      </c>
      <c r="AA44" s="4" t="n">
        <v>21</v>
      </c>
      <c r="AB44" s="4" t="n">
        <v>542</v>
      </c>
      <c r="AC44" s="5" t="n">
        <v>99999</v>
      </c>
      <c r="AD44" s="3" t="s">
        <v>128</v>
      </c>
      <c r="AE44" s="6" t="n">
        <v>1177.1217125</v>
      </c>
      <c r="AF44" s="5" t="n">
        <v>109</v>
      </c>
      <c r="AG44" s="5" t="n">
        <v>1262</v>
      </c>
      <c r="AH44" s="3" t="s">
        <v>262</v>
      </c>
      <c r="AI44" s="6" t="n">
        <v>76.7508395833</v>
      </c>
      <c r="AJ44" s="7"/>
      <c r="AK44" s="5" t="n">
        <v>99999</v>
      </c>
      <c r="AL44" s="4" t="n">
        <f aca="false">(IF(AC44=99999,0,AC44))+((IF(AF44=99999,0,AF44))/AE44)+AG44+(AJ44/AI44)+(IF(AK44=99999,0,AK44))</f>
        <v>1262.0925987507</v>
      </c>
      <c r="AM44" s="4" t="n">
        <f aca="false">AL44+AB44</f>
        <v>1804.0925987507</v>
      </c>
      <c r="AN44" s="8" t="s">
        <v>124</v>
      </c>
      <c r="AO44" s="8" t="s">
        <v>256</v>
      </c>
      <c r="AP44" s="24" t="e">
        <f aca="false">(IF((F44="Port to Port"),(IF(AND(AC44=99999,OR(AF44="",AF44=99999),AG44="",AJ44="",AK44=99999,#REF!="",#REF!="",#REF!="",#REF!="",#REF!="",#REF!="",AN44&lt;&gt;"",#REF!&lt;&gt;"",#REF!="",#REF!="",AO44&lt;&gt;"",#REF!&lt;&gt;"",#REF!="",#REF!="",#REF!="",#REF!=""),"No Bid",IF(AND(AC44=99999,OR(AF44&lt;&gt;"",AF44=99999),AG44&lt;&gt;"",AJ44&lt;&gt;"",AK44=99999,#REF!&lt;&gt;"",#REF!&lt;&gt;"",#REF!&lt;&gt;"",#REF!&lt;&gt;"",#REF!&lt;&gt;"",#REF!&lt;&gt;"",AN44&lt;&gt;"",#REF!&lt;&gt;"",#REF!="",#REF!="",AO44&lt;&gt;"",#REF!&lt;&gt;"",#REF!="",#REF!="",#REF!&lt;&gt;"",(IF((OR(#REF!="No Trans-Shipments",#REF!="")),(AND(#REF!="",#REF!="")),(IF(#REF!="1 Trans-Shipment",(AND(#REF!&lt;&gt;"",#REF!="")),(AND(#REF!&lt;&gt;"",#REF!&lt;&gt;"")))))),#REF!&lt;&gt;""),"Complete Bid","Incomplete Bid")))))</f>
        <v>#REF!</v>
      </c>
      <c r="AQ44" s="25" t="n">
        <f aca="false">(IF((F44="Door to Port"),(IF(AND(AC44="",AF44="",AG44="",AJ44="",AK44=99999,#REF!="",#REF!="",#REF!="",#REF!="",#REF!="",#REF!="",AN44="",#REF!="",#REF!="",#REF!="",AO44&lt;&gt;"",#REF!&lt;&gt;"",#REF!="",#REF!="",#REF!="",#REF!=""),"No Bid",IF(AND(AC44&lt;&gt;"",AF44&lt;&gt;"",AG44&lt;&gt;"",AJ44&lt;&gt;"",AK44=99999,#REF!&lt;&gt;"",#REF!&lt;&gt;"",#REF!&lt;&gt;"",#REF!&lt;&gt;"",#REF!&lt;&gt;"",#REF!&lt;&gt;"",AN44&lt;&gt;"",#REF!&lt;&gt;"",OR(#REF!="",#REF!&lt;&gt;""),#REF!&lt;&gt;"",AO44&lt;&gt;"",#REF!&lt;&gt;"",#REF!="",#REF!="",#REF!&lt;&gt;"",(IF((OR((#REF!="No Trans-Shipments"),(#REF!=""))),(AND(#REF!="",#REF!="")),(IF(#REF!="1 Trans-Shipment",(AND(#REF!&lt;&gt;"",#REF!="")),(AND(#REF!&lt;&gt;"",#REF!&lt;&gt;"")))))),#REF!&lt;&gt;""),"Complete Bid","Incomplete Bid")))))</f>
        <v>0</v>
      </c>
      <c r="AR44" s="25" t="n">
        <f aca="false">(IF((F44="Port to Door"),(IF(AND(AC44=99999,OR(AF44="",AF44=99999),AG44="",AJ44="",AK44="",#REF!="",#REF!="",#REF!="",#REF!="",#REF!="",#REF!="",AN44&lt;&gt;"",#REF!&lt;&gt;"",#REF!="",#REF!="",AO44="",#REF!="",#REF!="",#REF!="",#REF!="",#REF!=""),"No Bid",IF(AND(AC44=99999,OR(AF44&lt;&gt;"",AF44=99999),AG44&lt;&gt;"",AJ44&lt;&gt;"",AK44&lt;&gt;"",#REF!&lt;&gt;"",#REF!&lt;&gt;"",#REF!&lt;&gt;"",#REF!&lt;&gt;"",#REF!&lt;&gt;"",#REF!&lt;&gt;"",AN44&lt;&gt;"",#REF!&lt;&gt;"",#REF!="",#REF!="",AO44&lt;&gt;"",#REF!&lt;&gt;"",OR(#REF!&lt;&gt;"",#REF!=""),#REF!&lt;&gt;"",#REF!&lt;&gt;"",(IF((OR(#REF!="No Trans-Shipments",#REF!="")),(AND(#REF!="",#REF!="")),(IF(#REF!="1 Trans-Shipment",(AND(#REF!&lt;&gt;"",#REF!="")),(AND(#REF!&lt;&gt;"",#REF!&lt;&gt;"")))))),#REF!&lt;&gt;""),"Complete Bid","Incomplete Bid")))))</f>
        <v>0</v>
      </c>
      <c r="AS44" s="25" t="n">
        <f aca="false">(IF((F44="Door to Door"),(IF(AND(AC44="",AF44="",AG44="",AJ44="",AK44="",#REF!="",#REF!="",#REF!="",#REF!="",#REF!="",#REF!="",AN44="",#REF!="",#REF!="",#REF!="",AO44="",#REF!="",#REF!="",#REF!="",#REF!="",#REF!=""),"No Bid",IF(AND(AC44&lt;&gt;"",AF44&lt;&gt;"",AG44&lt;&gt;"",AJ44&lt;&gt;"",AK44&lt;&gt;"",#REF!&lt;&gt;"",#REF!&lt;&gt;"",#REF!&lt;&gt;"",#REF!&lt;&gt;"",#REF!&lt;&gt;"",#REF!&lt;&gt;"",AN44&lt;&gt;"",#REF!&lt;&gt;"",OR(#REF!&lt;&gt;"",#REF!=""),#REF!&lt;&gt;"",AO44&lt;&gt;"",#REF!&lt;&gt;"",OR(#REF!&lt;&gt;"",#REF!=""),#REF!&lt;&gt;"",#REF!&lt;&gt;"",(IF((OR(#REF!="No Trans-Shipments",#REF!="")),(AND(#REF!="",#REF!="")),(IF(#REF!="1 Trans-Shipment",(AND(#REF!&lt;&gt;"",#REF!="")),(AND(#REF!&lt;&gt;"",#REF!&lt;&gt;"")))))),#REF!&lt;&gt;""),"Complete Bid","Incomplete Bid")))))</f>
        <v>0</v>
      </c>
    </row>
    <row r="45" customFormat="false" ht="12.75" hidden="false" customHeight="true" outlineLevel="0" collapsed="false">
      <c r="A45" s="2" t="s">
        <v>56</v>
      </c>
      <c r="B45" s="23" t="s">
        <v>268</v>
      </c>
      <c r="C45" s="3" t="s">
        <v>58</v>
      </c>
      <c r="D45" s="3" t="s">
        <v>269</v>
      </c>
      <c r="E45" s="3" t="s">
        <v>120</v>
      </c>
      <c r="F45" s="3" t="s">
        <v>61</v>
      </c>
      <c r="G45" s="3" t="s">
        <v>178</v>
      </c>
      <c r="H45" s="3" t="s">
        <v>58</v>
      </c>
      <c r="I45" s="3" t="s">
        <v>123</v>
      </c>
      <c r="J45" s="3" t="s">
        <v>124</v>
      </c>
      <c r="K45" s="3" t="s">
        <v>58</v>
      </c>
      <c r="L45" s="3" t="s">
        <v>179</v>
      </c>
      <c r="M45" s="3" t="s">
        <v>270</v>
      </c>
      <c r="N45" s="3" t="s">
        <v>66</v>
      </c>
      <c r="O45" s="3"/>
      <c r="P45" s="3" t="s">
        <v>68</v>
      </c>
      <c r="Q45" s="3"/>
      <c r="R45" s="3" t="s">
        <v>126</v>
      </c>
      <c r="S45" s="3"/>
      <c r="T45" s="3" t="s">
        <v>181</v>
      </c>
      <c r="U45" s="3"/>
      <c r="V45" s="4" t="n">
        <v>9</v>
      </c>
      <c r="W45" s="4"/>
      <c r="X45" s="4" t="n">
        <v>14</v>
      </c>
      <c r="Y45" s="4" t="n">
        <v>7</v>
      </c>
      <c r="Z45" s="4" t="n">
        <v>14</v>
      </c>
      <c r="AA45" s="4" t="n">
        <v>7</v>
      </c>
      <c r="AB45" s="4" t="n">
        <v>40</v>
      </c>
      <c r="AC45" s="5" t="n">
        <v>99999</v>
      </c>
      <c r="AD45" s="3" t="s">
        <v>128</v>
      </c>
      <c r="AE45" s="6" t="n">
        <v>1177.1217125</v>
      </c>
      <c r="AF45" s="5" t="n">
        <v>110</v>
      </c>
      <c r="AG45" s="5" t="n">
        <v>1263</v>
      </c>
      <c r="AH45" s="3" t="s">
        <v>182</v>
      </c>
      <c r="AI45" s="6" t="n">
        <v>6.4657737917</v>
      </c>
      <c r="AJ45" s="7"/>
      <c r="AK45" s="5" t="n">
        <v>99999</v>
      </c>
      <c r="AL45" s="4" t="n">
        <f aca="false">(IF(AC45=99999,0,AC45))+((IF(AF45=99999,0,AF45))/AE45)+AG45+(AJ45/AI45)+(IF(AK45=99999,0,AK45))</f>
        <v>1263.09344828052</v>
      </c>
      <c r="AM45" s="4" t="n">
        <f aca="false">AL45+AB45</f>
        <v>1303.09344828052</v>
      </c>
      <c r="AN45" s="8" t="s">
        <v>124</v>
      </c>
      <c r="AO45" s="8" t="s">
        <v>270</v>
      </c>
      <c r="AP45" s="24" t="e">
        <f aca="false">(IF((F45="Port to Port"),(IF(AND(AC45=99999,OR(AF45="",AF45=99999),AG45="",AJ45="",AK45=99999,#REF!="",#REF!="",#REF!="",#REF!="",#REF!="",#REF!="",AN45&lt;&gt;"",#REF!&lt;&gt;"",#REF!="",#REF!="",AO45&lt;&gt;"",#REF!&lt;&gt;"",#REF!="",#REF!="",#REF!="",#REF!=""),"No Bid",IF(AND(AC45=99999,OR(AF45&lt;&gt;"",AF45=99999),AG45&lt;&gt;"",AJ45&lt;&gt;"",AK45=99999,#REF!&lt;&gt;"",#REF!&lt;&gt;"",#REF!&lt;&gt;"",#REF!&lt;&gt;"",#REF!&lt;&gt;"",#REF!&lt;&gt;"",AN45&lt;&gt;"",#REF!&lt;&gt;"",#REF!="",#REF!="",AO45&lt;&gt;"",#REF!&lt;&gt;"",#REF!="",#REF!="",#REF!&lt;&gt;"",(IF((OR(#REF!="No Trans-Shipments",#REF!="")),(AND(#REF!="",#REF!="")),(IF(#REF!="1 Trans-Shipment",(AND(#REF!&lt;&gt;"",#REF!="")),(AND(#REF!&lt;&gt;"",#REF!&lt;&gt;"")))))),#REF!&lt;&gt;""),"Complete Bid","Incomplete Bid")))))</f>
        <v>#REF!</v>
      </c>
      <c r="AQ45" s="25" t="n">
        <f aca="false">(IF((F45="Door to Port"),(IF(AND(AC45="",AF45="",AG45="",AJ45="",AK45=99999,#REF!="",#REF!="",#REF!="",#REF!="",#REF!="",#REF!="",AN45="",#REF!="",#REF!="",#REF!="",AO45&lt;&gt;"",#REF!&lt;&gt;"",#REF!="",#REF!="",#REF!="",#REF!=""),"No Bid",IF(AND(AC45&lt;&gt;"",AF45&lt;&gt;"",AG45&lt;&gt;"",AJ45&lt;&gt;"",AK45=99999,#REF!&lt;&gt;"",#REF!&lt;&gt;"",#REF!&lt;&gt;"",#REF!&lt;&gt;"",#REF!&lt;&gt;"",#REF!&lt;&gt;"",AN45&lt;&gt;"",#REF!&lt;&gt;"",OR(#REF!="",#REF!&lt;&gt;""),#REF!&lt;&gt;"",AO45&lt;&gt;"",#REF!&lt;&gt;"",#REF!="",#REF!="",#REF!&lt;&gt;"",(IF((OR((#REF!="No Trans-Shipments"),(#REF!=""))),(AND(#REF!="",#REF!="")),(IF(#REF!="1 Trans-Shipment",(AND(#REF!&lt;&gt;"",#REF!="")),(AND(#REF!&lt;&gt;"",#REF!&lt;&gt;"")))))),#REF!&lt;&gt;""),"Complete Bid","Incomplete Bid")))))</f>
        <v>0</v>
      </c>
      <c r="AR45" s="25" t="n">
        <f aca="false">(IF((F45="Port to Door"),(IF(AND(AC45=99999,OR(AF45="",AF45=99999),AG45="",AJ45="",AK45="",#REF!="",#REF!="",#REF!="",#REF!="",#REF!="",#REF!="",AN45&lt;&gt;"",#REF!&lt;&gt;"",#REF!="",#REF!="",AO45="",#REF!="",#REF!="",#REF!="",#REF!="",#REF!=""),"No Bid",IF(AND(AC45=99999,OR(AF45&lt;&gt;"",AF45=99999),AG45&lt;&gt;"",AJ45&lt;&gt;"",AK45&lt;&gt;"",#REF!&lt;&gt;"",#REF!&lt;&gt;"",#REF!&lt;&gt;"",#REF!&lt;&gt;"",#REF!&lt;&gt;"",#REF!&lt;&gt;"",AN45&lt;&gt;"",#REF!&lt;&gt;"",#REF!="",#REF!="",AO45&lt;&gt;"",#REF!&lt;&gt;"",OR(#REF!&lt;&gt;"",#REF!=""),#REF!&lt;&gt;"",#REF!&lt;&gt;"",(IF((OR(#REF!="No Trans-Shipments",#REF!="")),(AND(#REF!="",#REF!="")),(IF(#REF!="1 Trans-Shipment",(AND(#REF!&lt;&gt;"",#REF!="")),(AND(#REF!&lt;&gt;"",#REF!&lt;&gt;"")))))),#REF!&lt;&gt;""),"Complete Bid","Incomplete Bid")))))</f>
        <v>0</v>
      </c>
      <c r="AS45" s="25" t="n">
        <f aca="false">(IF((F45="Door to Door"),(IF(AND(AC45="",AF45="",AG45="",AJ45="",AK45="",#REF!="",#REF!="",#REF!="",#REF!="",#REF!="",#REF!="",AN45="",#REF!="",#REF!="",#REF!="",AO45="",#REF!="",#REF!="",#REF!="",#REF!="",#REF!=""),"No Bid",IF(AND(AC45&lt;&gt;"",AF45&lt;&gt;"",AG45&lt;&gt;"",AJ45&lt;&gt;"",AK45&lt;&gt;"",#REF!&lt;&gt;"",#REF!&lt;&gt;"",#REF!&lt;&gt;"",#REF!&lt;&gt;"",#REF!&lt;&gt;"",#REF!&lt;&gt;"",AN45&lt;&gt;"",#REF!&lt;&gt;"",OR(#REF!&lt;&gt;"",#REF!=""),#REF!&lt;&gt;"",AO45&lt;&gt;"",#REF!&lt;&gt;"",OR(#REF!&lt;&gt;"",#REF!=""),#REF!&lt;&gt;"",#REF!&lt;&gt;"",(IF((OR(#REF!="No Trans-Shipments",#REF!="")),(AND(#REF!="",#REF!="")),(IF(#REF!="1 Trans-Shipment",(AND(#REF!&lt;&gt;"",#REF!="")),(AND(#REF!&lt;&gt;"",#REF!&lt;&gt;"")))))),#REF!&lt;&gt;""),"Complete Bid","Incomplete Bid")))))</f>
        <v>0</v>
      </c>
    </row>
    <row r="46" customFormat="false" ht="12.75" hidden="false" customHeight="true" outlineLevel="0" collapsed="false">
      <c r="A46" s="2" t="s">
        <v>56</v>
      </c>
      <c r="B46" s="23" t="s">
        <v>271</v>
      </c>
      <c r="C46" s="3" t="s">
        <v>58</v>
      </c>
      <c r="D46" s="3" t="s">
        <v>272</v>
      </c>
      <c r="E46" s="3" t="s">
        <v>120</v>
      </c>
      <c r="F46" s="3" t="s">
        <v>61</v>
      </c>
      <c r="G46" s="3" t="s">
        <v>178</v>
      </c>
      <c r="H46" s="3" t="s">
        <v>58</v>
      </c>
      <c r="I46" s="3" t="s">
        <v>123</v>
      </c>
      <c r="J46" s="3" t="s">
        <v>124</v>
      </c>
      <c r="K46" s="3" t="s">
        <v>58</v>
      </c>
      <c r="L46" s="3" t="s">
        <v>179</v>
      </c>
      <c r="M46" s="3" t="s">
        <v>270</v>
      </c>
      <c r="N46" s="3" t="s">
        <v>80</v>
      </c>
      <c r="O46" s="3"/>
      <c r="P46" s="3" t="s">
        <v>68</v>
      </c>
      <c r="Q46" s="3"/>
      <c r="R46" s="3" t="s">
        <v>126</v>
      </c>
      <c r="S46" s="3"/>
      <c r="T46" s="3" t="s">
        <v>181</v>
      </c>
      <c r="U46" s="3"/>
      <c r="V46" s="4" t="n">
        <v>62</v>
      </c>
      <c r="W46" s="4" t="s">
        <v>273</v>
      </c>
      <c r="X46" s="4" t="n">
        <v>14</v>
      </c>
      <c r="Y46" s="4" t="n">
        <v>7</v>
      </c>
      <c r="Z46" s="4" t="n">
        <v>14</v>
      </c>
      <c r="AA46" s="4" t="n">
        <v>7</v>
      </c>
      <c r="AB46" s="4" t="n">
        <v>80</v>
      </c>
      <c r="AC46" s="5" t="n">
        <v>99999</v>
      </c>
      <c r="AD46" s="3" t="s">
        <v>128</v>
      </c>
      <c r="AE46" s="6" t="n">
        <v>1177.1217125</v>
      </c>
      <c r="AF46" s="5" t="n">
        <v>111</v>
      </c>
      <c r="AG46" s="5" t="n">
        <v>1264</v>
      </c>
      <c r="AH46" s="3" t="s">
        <v>182</v>
      </c>
      <c r="AI46" s="6" t="n">
        <v>6.4657737917</v>
      </c>
      <c r="AJ46" s="7"/>
      <c r="AK46" s="5" t="n">
        <v>99999</v>
      </c>
      <c r="AL46" s="4" t="n">
        <f aca="false">(IF(AC46=99999,0,AC46))+((IF(AF46=99999,0,AF46))/AE46)+AG46+(AJ46/AI46)+(IF(AK46=99999,0,AK46))</f>
        <v>1264.09429781035</v>
      </c>
      <c r="AM46" s="4" t="n">
        <f aca="false">AL46+AB46</f>
        <v>1344.09429781035</v>
      </c>
      <c r="AN46" s="8" t="s">
        <v>124</v>
      </c>
      <c r="AO46" s="8" t="s">
        <v>270</v>
      </c>
      <c r="AP46" s="24" t="e">
        <f aca="false">(IF((F46="Port to Port"),(IF(AND(AC46=99999,OR(AF46="",AF46=99999),AG46="",AJ46="",AK46=99999,#REF!="",#REF!="",#REF!="",#REF!="",#REF!="",#REF!="",AN46&lt;&gt;"",#REF!&lt;&gt;"",#REF!="",#REF!="",AO46&lt;&gt;"",#REF!&lt;&gt;"",#REF!="",#REF!="",#REF!="",#REF!=""),"No Bid",IF(AND(AC46=99999,OR(AF46&lt;&gt;"",AF46=99999),AG46&lt;&gt;"",AJ46&lt;&gt;"",AK46=99999,#REF!&lt;&gt;"",#REF!&lt;&gt;"",#REF!&lt;&gt;"",#REF!&lt;&gt;"",#REF!&lt;&gt;"",#REF!&lt;&gt;"",AN46&lt;&gt;"",#REF!&lt;&gt;"",#REF!="",#REF!="",AO46&lt;&gt;"",#REF!&lt;&gt;"",#REF!="",#REF!="",#REF!&lt;&gt;"",(IF((OR(#REF!="No Trans-Shipments",#REF!="")),(AND(#REF!="",#REF!="")),(IF(#REF!="1 Trans-Shipment",(AND(#REF!&lt;&gt;"",#REF!="")),(AND(#REF!&lt;&gt;"",#REF!&lt;&gt;"")))))),#REF!&lt;&gt;""),"Complete Bid","Incomplete Bid")))))</f>
        <v>#REF!</v>
      </c>
      <c r="AQ46" s="25" t="n">
        <f aca="false">(IF((F46="Door to Port"),(IF(AND(AC46="",AF46="",AG46="",AJ46="",AK46=99999,#REF!="",#REF!="",#REF!="",#REF!="",#REF!="",#REF!="",AN46="",#REF!="",#REF!="",#REF!="",AO46&lt;&gt;"",#REF!&lt;&gt;"",#REF!="",#REF!="",#REF!="",#REF!=""),"No Bid",IF(AND(AC46&lt;&gt;"",AF46&lt;&gt;"",AG46&lt;&gt;"",AJ46&lt;&gt;"",AK46=99999,#REF!&lt;&gt;"",#REF!&lt;&gt;"",#REF!&lt;&gt;"",#REF!&lt;&gt;"",#REF!&lt;&gt;"",#REF!&lt;&gt;"",AN46&lt;&gt;"",#REF!&lt;&gt;"",OR(#REF!="",#REF!&lt;&gt;""),#REF!&lt;&gt;"",AO46&lt;&gt;"",#REF!&lt;&gt;"",#REF!="",#REF!="",#REF!&lt;&gt;"",(IF((OR((#REF!="No Trans-Shipments"),(#REF!=""))),(AND(#REF!="",#REF!="")),(IF(#REF!="1 Trans-Shipment",(AND(#REF!&lt;&gt;"",#REF!="")),(AND(#REF!&lt;&gt;"",#REF!&lt;&gt;"")))))),#REF!&lt;&gt;""),"Complete Bid","Incomplete Bid")))))</f>
        <v>0</v>
      </c>
      <c r="AR46" s="25" t="n">
        <f aca="false">(IF((F46="Port to Door"),(IF(AND(AC46=99999,OR(AF46="",AF46=99999),AG46="",AJ46="",AK46="",#REF!="",#REF!="",#REF!="",#REF!="",#REF!="",#REF!="",AN46&lt;&gt;"",#REF!&lt;&gt;"",#REF!="",#REF!="",AO46="",#REF!="",#REF!="",#REF!="",#REF!="",#REF!=""),"No Bid",IF(AND(AC46=99999,OR(AF46&lt;&gt;"",AF46=99999),AG46&lt;&gt;"",AJ46&lt;&gt;"",AK46&lt;&gt;"",#REF!&lt;&gt;"",#REF!&lt;&gt;"",#REF!&lt;&gt;"",#REF!&lt;&gt;"",#REF!&lt;&gt;"",#REF!&lt;&gt;"",AN46&lt;&gt;"",#REF!&lt;&gt;"",#REF!="",#REF!="",AO46&lt;&gt;"",#REF!&lt;&gt;"",OR(#REF!&lt;&gt;"",#REF!=""),#REF!&lt;&gt;"",#REF!&lt;&gt;"",(IF((OR(#REF!="No Trans-Shipments",#REF!="")),(AND(#REF!="",#REF!="")),(IF(#REF!="1 Trans-Shipment",(AND(#REF!&lt;&gt;"",#REF!="")),(AND(#REF!&lt;&gt;"",#REF!&lt;&gt;"")))))),#REF!&lt;&gt;""),"Complete Bid","Incomplete Bid")))))</f>
        <v>0</v>
      </c>
      <c r="AS46" s="25" t="n">
        <f aca="false">(IF((F46="Door to Door"),(IF(AND(AC46="",AF46="",AG46="",AJ46="",AK46="",#REF!="",#REF!="",#REF!="",#REF!="",#REF!="",#REF!="",AN46="",#REF!="",#REF!="",#REF!="",AO46="",#REF!="",#REF!="",#REF!="",#REF!="",#REF!=""),"No Bid",IF(AND(AC46&lt;&gt;"",AF46&lt;&gt;"",AG46&lt;&gt;"",AJ46&lt;&gt;"",AK46&lt;&gt;"",#REF!&lt;&gt;"",#REF!&lt;&gt;"",#REF!&lt;&gt;"",#REF!&lt;&gt;"",#REF!&lt;&gt;"",#REF!&lt;&gt;"",AN46&lt;&gt;"",#REF!&lt;&gt;"",OR(#REF!&lt;&gt;"",#REF!=""),#REF!&lt;&gt;"",AO46&lt;&gt;"",#REF!&lt;&gt;"",OR(#REF!&lt;&gt;"",#REF!=""),#REF!&lt;&gt;"",#REF!&lt;&gt;"",(IF((OR(#REF!="No Trans-Shipments",#REF!="")),(AND(#REF!="",#REF!="")),(IF(#REF!="1 Trans-Shipment",(AND(#REF!&lt;&gt;"",#REF!="")),(AND(#REF!&lt;&gt;"",#REF!&lt;&gt;"")))))),#REF!&lt;&gt;""),"Complete Bid","Incomplete Bid")))))</f>
        <v>0</v>
      </c>
    </row>
    <row r="47" customFormat="false" ht="12.75" hidden="false" customHeight="true" outlineLevel="0" collapsed="false">
      <c r="A47" s="2" t="s">
        <v>56</v>
      </c>
      <c r="B47" s="23" t="s">
        <v>274</v>
      </c>
      <c r="C47" s="3" t="s">
        <v>58</v>
      </c>
      <c r="D47" s="3" t="s">
        <v>275</v>
      </c>
      <c r="E47" s="3" t="s">
        <v>145</v>
      </c>
      <c r="F47" s="3" t="s">
        <v>61</v>
      </c>
      <c r="G47" s="3" t="s">
        <v>62</v>
      </c>
      <c r="H47" s="3" t="s">
        <v>58</v>
      </c>
      <c r="I47" s="3" t="s">
        <v>123</v>
      </c>
      <c r="J47" s="3" t="s">
        <v>124</v>
      </c>
      <c r="K47" s="3" t="s">
        <v>58</v>
      </c>
      <c r="L47" s="3" t="s">
        <v>86</v>
      </c>
      <c r="M47" s="3" t="s">
        <v>276</v>
      </c>
      <c r="N47" s="3" t="s">
        <v>66</v>
      </c>
      <c r="O47" s="3"/>
      <c r="P47" s="3" t="s">
        <v>68</v>
      </c>
      <c r="Q47" s="3"/>
      <c r="R47" s="3" t="s">
        <v>126</v>
      </c>
      <c r="S47" s="3"/>
      <c r="T47" s="3" t="s">
        <v>89</v>
      </c>
      <c r="U47" s="3"/>
      <c r="V47" s="4" t="n">
        <v>87</v>
      </c>
      <c r="W47" s="4"/>
      <c r="X47" s="4" t="n">
        <v>14</v>
      </c>
      <c r="Y47" s="4" t="n">
        <v>7</v>
      </c>
      <c r="Z47" s="4" t="n">
        <v>5</v>
      </c>
      <c r="AA47" s="4" t="n">
        <v>30</v>
      </c>
      <c r="AB47" s="4" t="n">
        <v>271</v>
      </c>
      <c r="AC47" s="5" t="n">
        <v>99999</v>
      </c>
      <c r="AD47" s="3" t="s">
        <v>128</v>
      </c>
      <c r="AE47" s="6" t="n">
        <v>1177.1217125</v>
      </c>
      <c r="AF47" s="5" t="n">
        <v>112</v>
      </c>
      <c r="AG47" s="5" t="n">
        <v>1265</v>
      </c>
      <c r="AH47" s="3" t="s">
        <v>91</v>
      </c>
      <c r="AI47" s="6" t="n">
        <v>1.3964683333</v>
      </c>
      <c r="AJ47" s="7"/>
      <c r="AK47" s="5" t="n">
        <v>99999</v>
      </c>
      <c r="AL47" s="4" t="n">
        <f aca="false">(IF(AC47=99999,0,AC47))+((IF(AF47=99999,0,AF47))/AE47)+AG47+(AJ47/AI47)+(IF(AK47=99999,0,AK47))</f>
        <v>1265.09514734017</v>
      </c>
      <c r="AM47" s="4" t="n">
        <f aca="false">AL47+AB47</f>
        <v>1536.09514734017</v>
      </c>
      <c r="AN47" s="8" t="s">
        <v>124</v>
      </c>
      <c r="AO47" s="8" t="s">
        <v>276</v>
      </c>
      <c r="AP47" s="24" t="e">
        <f aca="false">(IF((F47="Port to Port"),(IF(AND(AC47=99999,OR(AF47="",AF47=99999),AG47="",AJ47="",AK47=99999,#REF!="",#REF!="",#REF!="",#REF!="",#REF!="",#REF!="",AN47&lt;&gt;"",#REF!&lt;&gt;"",#REF!="",#REF!="",AO47&lt;&gt;"",#REF!&lt;&gt;"",#REF!="",#REF!="",#REF!="",#REF!=""),"No Bid",IF(AND(AC47=99999,OR(AF47&lt;&gt;"",AF47=99999),AG47&lt;&gt;"",AJ47&lt;&gt;"",AK47=99999,#REF!&lt;&gt;"",#REF!&lt;&gt;"",#REF!&lt;&gt;"",#REF!&lt;&gt;"",#REF!&lt;&gt;"",#REF!&lt;&gt;"",AN47&lt;&gt;"",#REF!&lt;&gt;"",#REF!="",#REF!="",AO47&lt;&gt;"",#REF!&lt;&gt;"",#REF!="",#REF!="",#REF!&lt;&gt;"",(IF((OR(#REF!="No Trans-Shipments",#REF!="")),(AND(#REF!="",#REF!="")),(IF(#REF!="1 Trans-Shipment",(AND(#REF!&lt;&gt;"",#REF!="")),(AND(#REF!&lt;&gt;"",#REF!&lt;&gt;"")))))),#REF!&lt;&gt;""),"Complete Bid","Incomplete Bid")))))</f>
        <v>#REF!</v>
      </c>
      <c r="AQ47" s="25" t="n">
        <f aca="false">(IF((F47="Door to Port"),(IF(AND(AC47="",AF47="",AG47="",AJ47="",AK47=99999,#REF!="",#REF!="",#REF!="",#REF!="",#REF!="",#REF!="",AN47="",#REF!="",#REF!="",#REF!="",AO47&lt;&gt;"",#REF!&lt;&gt;"",#REF!="",#REF!="",#REF!="",#REF!=""),"No Bid",IF(AND(AC47&lt;&gt;"",AF47&lt;&gt;"",AG47&lt;&gt;"",AJ47&lt;&gt;"",AK47=99999,#REF!&lt;&gt;"",#REF!&lt;&gt;"",#REF!&lt;&gt;"",#REF!&lt;&gt;"",#REF!&lt;&gt;"",#REF!&lt;&gt;"",AN47&lt;&gt;"",#REF!&lt;&gt;"",OR(#REF!="",#REF!&lt;&gt;""),#REF!&lt;&gt;"",AO47&lt;&gt;"",#REF!&lt;&gt;"",#REF!="",#REF!="",#REF!&lt;&gt;"",(IF((OR((#REF!="No Trans-Shipments"),(#REF!=""))),(AND(#REF!="",#REF!="")),(IF(#REF!="1 Trans-Shipment",(AND(#REF!&lt;&gt;"",#REF!="")),(AND(#REF!&lt;&gt;"",#REF!&lt;&gt;"")))))),#REF!&lt;&gt;""),"Complete Bid","Incomplete Bid")))))</f>
        <v>0</v>
      </c>
      <c r="AR47" s="25" t="n">
        <f aca="false">(IF((F47="Port to Door"),(IF(AND(AC47=99999,OR(AF47="",AF47=99999),AG47="",AJ47="",AK47="",#REF!="",#REF!="",#REF!="",#REF!="",#REF!="",#REF!="",AN47&lt;&gt;"",#REF!&lt;&gt;"",#REF!="",#REF!="",AO47="",#REF!="",#REF!="",#REF!="",#REF!="",#REF!=""),"No Bid",IF(AND(AC47=99999,OR(AF47&lt;&gt;"",AF47=99999),AG47&lt;&gt;"",AJ47&lt;&gt;"",AK47&lt;&gt;"",#REF!&lt;&gt;"",#REF!&lt;&gt;"",#REF!&lt;&gt;"",#REF!&lt;&gt;"",#REF!&lt;&gt;"",#REF!&lt;&gt;"",AN47&lt;&gt;"",#REF!&lt;&gt;"",#REF!="",#REF!="",AO47&lt;&gt;"",#REF!&lt;&gt;"",OR(#REF!&lt;&gt;"",#REF!=""),#REF!&lt;&gt;"",#REF!&lt;&gt;"",(IF((OR(#REF!="No Trans-Shipments",#REF!="")),(AND(#REF!="",#REF!="")),(IF(#REF!="1 Trans-Shipment",(AND(#REF!&lt;&gt;"",#REF!="")),(AND(#REF!&lt;&gt;"",#REF!&lt;&gt;"")))))),#REF!&lt;&gt;""),"Complete Bid","Incomplete Bid")))))</f>
        <v>0</v>
      </c>
      <c r="AS47" s="25" t="n">
        <f aca="false">(IF((F47="Door to Door"),(IF(AND(AC47="",AF47="",AG47="",AJ47="",AK47="",#REF!="",#REF!="",#REF!="",#REF!="",#REF!="",#REF!="",AN47="",#REF!="",#REF!="",#REF!="",AO47="",#REF!="",#REF!="",#REF!="",#REF!="",#REF!=""),"No Bid",IF(AND(AC47&lt;&gt;"",AF47&lt;&gt;"",AG47&lt;&gt;"",AJ47&lt;&gt;"",AK47&lt;&gt;"",#REF!&lt;&gt;"",#REF!&lt;&gt;"",#REF!&lt;&gt;"",#REF!&lt;&gt;"",#REF!&lt;&gt;"",#REF!&lt;&gt;"",AN47&lt;&gt;"",#REF!&lt;&gt;"",OR(#REF!&lt;&gt;"",#REF!=""),#REF!&lt;&gt;"",AO47&lt;&gt;"",#REF!&lt;&gt;"",OR(#REF!&lt;&gt;"",#REF!=""),#REF!&lt;&gt;"",#REF!&lt;&gt;"",(IF((OR(#REF!="No Trans-Shipments",#REF!="")),(AND(#REF!="",#REF!="")),(IF(#REF!="1 Trans-Shipment",(AND(#REF!&lt;&gt;"",#REF!="")),(AND(#REF!&lt;&gt;"",#REF!&lt;&gt;"")))))),#REF!&lt;&gt;""),"Complete Bid","Incomplete Bid")))))</f>
        <v>0</v>
      </c>
    </row>
    <row r="48" customFormat="false" ht="12.75" hidden="false" customHeight="true" outlineLevel="0" collapsed="false">
      <c r="A48" s="2" t="s">
        <v>56</v>
      </c>
      <c r="B48" s="23" t="s">
        <v>277</v>
      </c>
      <c r="C48" s="3" t="s">
        <v>58</v>
      </c>
      <c r="D48" s="3" t="s">
        <v>278</v>
      </c>
      <c r="E48" s="3" t="s">
        <v>145</v>
      </c>
      <c r="F48" s="3" t="s">
        <v>61</v>
      </c>
      <c r="G48" s="3" t="s">
        <v>62</v>
      </c>
      <c r="H48" s="3" t="s">
        <v>58</v>
      </c>
      <c r="I48" s="3" t="s">
        <v>123</v>
      </c>
      <c r="J48" s="3" t="s">
        <v>124</v>
      </c>
      <c r="K48" s="3" t="s">
        <v>58</v>
      </c>
      <c r="L48" s="3" t="s">
        <v>86</v>
      </c>
      <c r="M48" s="3" t="s">
        <v>276</v>
      </c>
      <c r="N48" s="3" t="s">
        <v>80</v>
      </c>
      <c r="O48" s="3"/>
      <c r="P48" s="3" t="s">
        <v>68</v>
      </c>
      <c r="Q48" s="3"/>
      <c r="R48" s="3" t="s">
        <v>126</v>
      </c>
      <c r="S48" s="3"/>
      <c r="T48" s="3" t="s">
        <v>89</v>
      </c>
      <c r="U48" s="3"/>
      <c r="V48" s="4" t="n">
        <v>204</v>
      </c>
      <c r="W48" s="4" t="s">
        <v>279</v>
      </c>
      <c r="X48" s="4" t="n">
        <v>14</v>
      </c>
      <c r="Y48" s="4" t="n">
        <v>7</v>
      </c>
      <c r="Z48" s="4" t="n">
        <v>5</v>
      </c>
      <c r="AA48" s="4" t="n">
        <v>30</v>
      </c>
      <c r="AB48" s="4" t="n">
        <v>542</v>
      </c>
      <c r="AC48" s="5" t="n">
        <v>99999</v>
      </c>
      <c r="AD48" s="3" t="s">
        <v>128</v>
      </c>
      <c r="AE48" s="6" t="n">
        <v>1177.1217125</v>
      </c>
      <c r="AF48" s="5" t="n">
        <v>113</v>
      </c>
      <c r="AG48" s="5" t="n">
        <v>1266</v>
      </c>
      <c r="AH48" s="3" t="s">
        <v>91</v>
      </c>
      <c r="AI48" s="6" t="n">
        <v>1.3964683333</v>
      </c>
      <c r="AJ48" s="7"/>
      <c r="AK48" s="5" t="n">
        <v>99999</v>
      </c>
      <c r="AL48" s="4" t="n">
        <f aca="false">(IF(AC48=99999,0,AC48))+((IF(AF48=99999,0,AF48))/AE48)+AG48+(AJ48/AI48)+(IF(AK48=99999,0,AK48))</f>
        <v>1266.09599686999</v>
      </c>
      <c r="AM48" s="4" t="n">
        <f aca="false">AL48+AB48</f>
        <v>1808.09599686999</v>
      </c>
      <c r="AN48" s="8" t="s">
        <v>124</v>
      </c>
      <c r="AO48" s="8" t="s">
        <v>276</v>
      </c>
      <c r="AP48" s="24" t="e">
        <f aca="false">(IF((F48="Port to Port"),(IF(AND(AC48=99999,OR(AF48="",AF48=99999),AG48="",AJ48="",AK48=99999,#REF!="",#REF!="",#REF!="",#REF!="",#REF!="",#REF!="",AN48&lt;&gt;"",#REF!&lt;&gt;"",#REF!="",#REF!="",AO48&lt;&gt;"",#REF!&lt;&gt;"",#REF!="",#REF!="",#REF!="",#REF!=""),"No Bid",IF(AND(AC48=99999,OR(AF48&lt;&gt;"",AF48=99999),AG48&lt;&gt;"",AJ48&lt;&gt;"",AK48=99999,#REF!&lt;&gt;"",#REF!&lt;&gt;"",#REF!&lt;&gt;"",#REF!&lt;&gt;"",#REF!&lt;&gt;"",#REF!&lt;&gt;"",AN48&lt;&gt;"",#REF!&lt;&gt;"",#REF!="",#REF!="",AO48&lt;&gt;"",#REF!&lt;&gt;"",#REF!="",#REF!="",#REF!&lt;&gt;"",(IF((OR(#REF!="No Trans-Shipments",#REF!="")),(AND(#REF!="",#REF!="")),(IF(#REF!="1 Trans-Shipment",(AND(#REF!&lt;&gt;"",#REF!="")),(AND(#REF!&lt;&gt;"",#REF!&lt;&gt;"")))))),#REF!&lt;&gt;""),"Complete Bid","Incomplete Bid")))))</f>
        <v>#REF!</v>
      </c>
      <c r="AQ48" s="25" t="n">
        <f aca="false">(IF((F48="Door to Port"),(IF(AND(AC48="",AF48="",AG48="",AJ48="",AK48=99999,#REF!="",#REF!="",#REF!="",#REF!="",#REF!="",#REF!="",AN48="",#REF!="",#REF!="",#REF!="",AO48&lt;&gt;"",#REF!&lt;&gt;"",#REF!="",#REF!="",#REF!="",#REF!=""),"No Bid",IF(AND(AC48&lt;&gt;"",AF48&lt;&gt;"",AG48&lt;&gt;"",AJ48&lt;&gt;"",AK48=99999,#REF!&lt;&gt;"",#REF!&lt;&gt;"",#REF!&lt;&gt;"",#REF!&lt;&gt;"",#REF!&lt;&gt;"",#REF!&lt;&gt;"",AN48&lt;&gt;"",#REF!&lt;&gt;"",OR(#REF!="",#REF!&lt;&gt;""),#REF!&lt;&gt;"",AO48&lt;&gt;"",#REF!&lt;&gt;"",#REF!="",#REF!="",#REF!&lt;&gt;"",(IF((OR((#REF!="No Trans-Shipments"),(#REF!=""))),(AND(#REF!="",#REF!="")),(IF(#REF!="1 Trans-Shipment",(AND(#REF!&lt;&gt;"",#REF!="")),(AND(#REF!&lt;&gt;"",#REF!&lt;&gt;"")))))),#REF!&lt;&gt;""),"Complete Bid","Incomplete Bid")))))</f>
        <v>0</v>
      </c>
      <c r="AR48" s="25" t="n">
        <f aca="false">(IF((F48="Port to Door"),(IF(AND(AC48=99999,OR(AF48="",AF48=99999),AG48="",AJ48="",AK48="",#REF!="",#REF!="",#REF!="",#REF!="",#REF!="",#REF!="",AN48&lt;&gt;"",#REF!&lt;&gt;"",#REF!="",#REF!="",AO48="",#REF!="",#REF!="",#REF!="",#REF!="",#REF!=""),"No Bid",IF(AND(AC48=99999,OR(AF48&lt;&gt;"",AF48=99999),AG48&lt;&gt;"",AJ48&lt;&gt;"",AK48&lt;&gt;"",#REF!&lt;&gt;"",#REF!&lt;&gt;"",#REF!&lt;&gt;"",#REF!&lt;&gt;"",#REF!&lt;&gt;"",#REF!&lt;&gt;"",AN48&lt;&gt;"",#REF!&lt;&gt;"",#REF!="",#REF!="",AO48&lt;&gt;"",#REF!&lt;&gt;"",OR(#REF!&lt;&gt;"",#REF!=""),#REF!&lt;&gt;"",#REF!&lt;&gt;"",(IF((OR(#REF!="No Trans-Shipments",#REF!="")),(AND(#REF!="",#REF!="")),(IF(#REF!="1 Trans-Shipment",(AND(#REF!&lt;&gt;"",#REF!="")),(AND(#REF!&lt;&gt;"",#REF!&lt;&gt;"")))))),#REF!&lt;&gt;""),"Complete Bid","Incomplete Bid")))))</f>
        <v>0</v>
      </c>
      <c r="AS48" s="25" t="n">
        <f aca="false">(IF((F48="Door to Door"),(IF(AND(AC48="",AF48="",AG48="",AJ48="",AK48="",#REF!="",#REF!="",#REF!="",#REF!="",#REF!="",#REF!="",AN48="",#REF!="",#REF!="",#REF!="",AO48="",#REF!="",#REF!="",#REF!="",#REF!="",#REF!=""),"No Bid",IF(AND(AC48&lt;&gt;"",AF48&lt;&gt;"",AG48&lt;&gt;"",AJ48&lt;&gt;"",AK48&lt;&gt;"",#REF!&lt;&gt;"",#REF!&lt;&gt;"",#REF!&lt;&gt;"",#REF!&lt;&gt;"",#REF!&lt;&gt;"",#REF!&lt;&gt;"",AN48&lt;&gt;"",#REF!&lt;&gt;"",OR(#REF!&lt;&gt;"",#REF!=""),#REF!&lt;&gt;"",AO48&lt;&gt;"",#REF!&lt;&gt;"",OR(#REF!&lt;&gt;"",#REF!=""),#REF!&lt;&gt;"",#REF!&lt;&gt;"",(IF((OR(#REF!="No Trans-Shipments",#REF!="")),(AND(#REF!="",#REF!="")),(IF(#REF!="1 Trans-Shipment",(AND(#REF!&lt;&gt;"",#REF!="")),(AND(#REF!&lt;&gt;"",#REF!&lt;&gt;"")))))),#REF!&lt;&gt;""),"Complete Bid","Incomplete Bid")))))</f>
        <v>0</v>
      </c>
    </row>
    <row r="49" customFormat="false" ht="12.75" hidden="false" customHeight="true" outlineLevel="0" collapsed="false">
      <c r="A49" s="2" t="s">
        <v>56</v>
      </c>
      <c r="B49" s="23" t="s">
        <v>280</v>
      </c>
      <c r="C49" s="3" t="s">
        <v>58</v>
      </c>
      <c r="D49" s="3" t="s">
        <v>281</v>
      </c>
      <c r="E49" s="3" t="s">
        <v>120</v>
      </c>
      <c r="F49" s="3" t="s">
        <v>61</v>
      </c>
      <c r="G49" s="3" t="s">
        <v>146</v>
      </c>
      <c r="H49" s="3" t="s">
        <v>58</v>
      </c>
      <c r="I49" s="3" t="s">
        <v>123</v>
      </c>
      <c r="J49" s="3" t="s">
        <v>124</v>
      </c>
      <c r="K49" s="3" t="s">
        <v>58</v>
      </c>
      <c r="L49" s="3" t="s">
        <v>179</v>
      </c>
      <c r="M49" s="3" t="s">
        <v>282</v>
      </c>
      <c r="N49" s="3" t="s">
        <v>66</v>
      </c>
      <c r="O49" s="3"/>
      <c r="P49" s="3" t="s">
        <v>68</v>
      </c>
      <c r="Q49" s="3"/>
      <c r="R49" s="3" t="s">
        <v>126</v>
      </c>
      <c r="S49" s="3"/>
      <c r="T49" s="3" t="s">
        <v>283</v>
      </c>
      <c r="U49" s="3"/>
      <c r="V49" s="4" t="n">
        <v>35</v>
      </c>
      <c r="W49" s="4"/>
      <c r="X49" s="4" t="n">
        <v>14</v>
      </c>
      <c r="Y49" s="4" t="n">
        <v>7</v>
      </c>
      <c r="Z49" s="4" t="n">
        <v>14</v>
      </c>
      <c r="AA49" s="4" t="n">
        <v>21</v>
      </c>
      <c r="AB49" s="4" t="n">
        <v>40</v>
      </c>
      <c r="AC49" s="5" t="n">
        <v>99999</v>
      </c>
      <c r="AD49" s="3" t="s">
        <v>128</v>
      </c>
      <c r="AE49" s="6" t="n">
        <v>1177.1217125</v>
      </c>
      <c r="AF49" s="5" t="n">
        <v>114</v>
      </c>
      <c r="AG49" s="5" t="n">
        <v>1267</v>
      </c>
      <c r="AH49" s="3" t="s">
        <v>182</v>
      </c>
      <c r="AI49" s="6" t="n">
        <v>6.4657737917</v>
      </c>
      <c r="AJ49" s="7"/>
      <c r="AK49" s="5" t="n">
        <v>99999</v>
      </c>
      <c r="AL49" s="4" t="n">
        <f aca="false">(IF(AC49=99999,0,AC49))+((IF(AF49=99999,0,AF49))/AE49)+AG49+(AJ49/AI49)+(IF(AK49=99999,0,AK49))</f>
        <v>1267.09684639982</v>
      </c>
      <c r="AM49" s="4" t="n">
        <f aca="false">AL49+AB49</f>
        <v>1307.09684639982</v>
      </c>
      <c r="AN49" s="8" t="s">
        <v>124</v>
      </c>
      <c r="AO49" s="8" t="s">
        <v>282</v>
      </c>
      <c r="AP49" s="24" t="e">
        <f aca="false">(IF((F49="Port to Port"),(IF(AND(AC49=99999,OR(AF49="",AF49=99999),AG49="",AJ49="",AK49=99999,#REF!="",#REF!="",#REF!="",#REF!="",#REF!="",#REF!="",AN49&lt;&gt;"",#REF!&lt;&gt;"",#REF!="",#REF!="",AO49&lt;&gt;"",#REF!&lt;&gt;"",#REF!="",#REF!="",#REF!="",#REF!=""),"No Bid",IF(AND(AC49=99999,OR(AF49&lt;&gt;"",AF49=99999),AG49&lt;&gt;"",AJ49&lt;&gt;"",AK49=99999,#REF!&lt;&gt;"",#REF!&lt;&gt;"",#REF!&lt;&gt;"",#REF!&lt;&gt;"",#REF!&lt;&gt;"",#REF!&lt;&gt;"",AN49&lt;&gt;"",#REF!&lt;&gt;"",#REF!="",#REF!="",AO49&lt;&gt;"",#REF!&lt;&gt;"",#REF!="",#REF!="",#REF!&lt;&gt;"",(IF((OR(#REF!="No Trans-Shipments",#REF!="")),(AND(#REF!="",#REF!="")),(IF(#REF!="1 Trans-Shipment",(AND(#REF!&lt;&gt;"",#REF!="")),(AND(#REF!&lt;&gt;"",#REF!&lt;&gt;"")))))),#REF!&lt;&gt;""),"Complete Bid","Incomplete Bid")))))</f>
        <v>#REF!</v>
      </c>
      <c r="AQ49" s="25" t="n">
        <f aca="false">(IF((F49="Door to Port"),(IF(AND(AC49="",AF49="",AG49="",AJ49="",AK49=99999,#REF!="",#REF!="",#REF!="",#REF!="",#REF!="",#REF!="",AN49="",#REF!="",#REF!="",#REF!="",AO49&lt;&gt;"",#REF!&lt;&gt;"",#REF!="",#REF!="",#REF!="",#REF!=""),"No Bid",IF(AND(AC49&lt;&gt;"",AF49&lt;&gt;"",AG49&lt;&gt;"",AJ49&lt;&gt;"",AK49=99999,#REF!&lt;&gt;"",#REF!&lt;&gt;"",#REF!&lt;&gt;"",#REF!&lt;&gt;"",#REF!&lt;&gt;"",#REF!&lt;&gt;"",AN49&lt;&gt;"",#REF!&lt;&gt;"",OR(#REF!="",#REF!&lt;&gt;""),#REF!&lt;&gt;"",AO49&lt;&gt;"",#REF!&lt;&gt;"",#REF!="",#REF!="",#REF!&lt;&gt;"",(IF((OR((#REF!="No Trans-Shipments"),(#REF!=""))),(AND(#REF!="",#REF!="")),(IF(#REF!="1 Trans-Shipment",(AND(#REF!&lt;&gt;"",#REF!="")),(AND(#REF!&lt;&gt;"",#REF!&lt;&gt;"")))))),#REF!&lt;&gt;""),"Complete Bid","Incomplete Bid")))))</f>
        <v>0</v>
      </c>
      <c r="AR49" s="25" t="n">
        <f aca="false">(IF((F49="Port to Door"),(IF(AND(AC49=99999,OR(AF49="",AF49=99999),AG49="",AJ49="",AK49="",#REF!="",#REF!="",#REF!="",#REF!="",#REF!="",#REF!="",AN49&lt;&gt;"",#REF!&lt;&gt;"",#REF!="",#REF!="",AO49="",#REF!="",#REF!="",#REF!="",#REF!="",#REF!=""),"No Bid",IF(AND(AC49=99999,OR(AF49&lt;&gt;"",AF49=99999),AG49&lt;&gt;"",AJ49&lt;&gt;"",AK49&lt;&gt;"",#REF!&lt;&gt;"",#REF!&lt;&gt;"",#REF!&lt;&gt;"",#REF!&lt;&gt;"",#REF!&lt;&gt;"",#REF!&lt;&gt;"",AN49&lt;&gt;"",#REF!&lt;&gt;"",#REF!="",#REF!="",AO49&lt;&gt;"",#REF!&lt;&gt;"",OR(#REF!&lt;&gt;"",#REF!=""),#REF!&lt;&gt;"",#REF!&lt;&gt;"",(IF((OR(#REF!="No Trans-Shipments",#REF!="")),(AND(#REF!="",#REF!="")),(IF(#REF!="1 Trans-Shipment",(AND(#REF!&lt;&gt;"",#REF!="")),(AND(#REF!&lt;&gt;"",#REF!&lt;&gt;"")))))),#REF!&lt;&gt;""),"Complete Bid","Incomplete Bid")))))</f>
        <v>0</v>
      </c>
      <c r="AS49" s="25" t="n">
        <f aca="false">(IF((F49="Door to Door"),(IF(AND(AC49="",AF49="",AG49="",AJ49="",AK49="",#REF!="",#REF!="",#REF!="",#REF!="",#REF!="",#REF!="",AN49="",#REF!="",#REF!="",#REF!="",AO49="",#REF!="",#REF!="",#REF!="",#REF!="",#REF!=""),"No Bid",IF(AND(AC49&lt;&gt;"",AF49&lt;&gt;"",AG49&lt;&gt;"",AJ49&lt;&gt;"",AK49&lt;&gt;"",#REF!&lt;&gt;"",#REF!&lt;&gt;"",#REF!&lt;&gt;"",#REF!&lt;&gt;"",#REF!&lt;&gt;"",#REF!&lt;&gt;"",AN49&lt;&gt;"",#REF!&lt;&gt;"",OR(#REF!&lt;&gt;"",#REF!=""),#REF!&lt;&gt;"",AO49&lt;&gt;"",#REF!&lt;&gt;"",OR(#REF!&lt;&gt;"",#REF!=""),#REF!&lt;&gt;"",#REF!&lt;&gt;"",(IF((OR(#REF!="No Trans-Shipments",#REF!="")),(AND(#REF!="",#REF!="")),(IF(#REF!="1 Trans-Shipment",(AND(#REF!&lt;&gt;"",#REF!="")),(AND(#REF!&lt;&gt;"",#REF!&lt;&gt;"")))))),#REF!&lt;&gt;""),"Complete Bid","Incomplete Bid")))))</f>
        <v>0</v>
      </c>
    </row>
    <row r="50" customFormat="false" ht="12.75" hidden="false" customHeight="true" outlineLevel="0" collapsed="false">
      <c r="A50" s="2" t="s">
        <v>56</v>
      </c>
      <c r="B50" s="23" t="s">
        <v>284</v>
      </c>
      <c r="C50" s="3" t="s">
        <v>58</v>
      </c>
      <c r="D50" s="3" t="s">
        <v>285</v>
      </c>
      <c r="E50" s="3" t="s">
        <v>120</v>
      </c>
      <c r="F50" s="3" t="s">
        <v>61</v>
      </c>
      <c r="G50" s="3" t="s">
        <v>146</v>
      </c>
      <c r="H50" s="3" t="s">
        <v>58</v>
      </c>
      <c r="I50" s="3" t="s">
        <v>123</v>
      </c>
      <c r="J50" s="3" t="s">
        <v>124</v>
      </c>
      <c r="K50" s="3" t="s">
        <v>58</v>
      </c>
      <c r="L50" s="3" t="s">
        <v>179</v>
      </c>
      <c r="M50" s="3" t="s">
        <v>282</v>
      </c>
      <c r="N50" s="3" t="s">
        <v>80</v>
      </c>
      <c r="O50" s="3"/>
      <c r="P50" s="3" t="s">
        <v>68</v>
      </c>
      <c r="Q50" s="3"/>
      <c r="R50" s="3" t="s">
        <v>126</v>
      </c>
      <c r="S50" s="3"/>
      <c r="T50" s="3" t="s">
        <v>283</v>
      </c>
      <c r="U50" s="3"/>
      <c r="V50" s="4" t="n">
        <v>474</v>
      </c>
      <c r="W50" s="4" t="s">
        <v>286</v>
      </c>
      <c r="X50" s="4" t="n">
        <v>14</v>
      </c>
      <c r="Y50" s="4" t="n">
        <v>7</v>
      </c>
      <c r="Z50" s="4" t="n">
        <v>14</v>
      </c>
      <c r="AA50" s="4" t="n">
        <v>21</v>
      </c>
      <c r="AB50" s="4" t="n">
        <v>80</v>
      </c>
      <c r="AC50" s="5" t="n">
        <v>99999</v>
      </c>
      <c r="AD50" s="3" t="s">
        <v>128</v>
      </c>
      <c r="AE50" s="6" t="n">
        <v>1177.1217125</v>
      </c>
      <c r="AF50" s="5" t="n">
        <v>115</v>
      </c>
      <c r="AG50" s="5" t="n">
        <v>1268</v>
      </c>
      <c r="AH50" s="3" t="s">
        <v>182</v>
      </c>
      <c r="AI50" s="6" t="n">
        <v>6.4657737917</v>
      </c>
      <c r="AJ50" s="7"/>
      <c r="AK50" s="5" t="n">
        <v>99999</v>
      </c>
      <c r="AL50" s="4" t="n">
        <f aca="false">(IF(AC50=99999,0,AC50))+((IF(AF50=99999,0,AF50))/AE50)+AG50+(AJ50/AI50)+(IF(AK50=99999,0,AK50))</f>
        <v>1268.09769592964</v>
      </c>
      <c r="AM50" s="4" t="n">
        <f aca="false">AL50+AB50</f>
        <v>1348.09769592964</v>
      </c>
      <c r="AN50" s="8" t="s">
        <v>124</v>
      </c>
      <c r="AO50" s="8" t="s">
        <v>282</v>
      </c>
      <c r="AP50" s="24" t="e">
        <f aca="false">(IF((F50="Port to Port"),(IF(AND(AC50=99999,OR(AF50="",AF50=99999),AG50="",AJ50="",AK50=99999,#REF!="",#REF!="",#REF!="",#REF!="",#REF!="",#REF!="",AN50&lt;&gt;"",#REF!&lt;&gt;"",#REF!="",#REF!="",AO50&lt;&gt;"",#REF!&lt;&gt;"",#REF!="",#REF!="",#REF!="",#REF!=""),"No Bid",IF(AND(AC50=99999,OR(AF50&lt;&gt;"",AF50=99999),AG50&lt;&gt;"",AJ50&lt;&gt;"",AK50=99999,#REF!&lt;&gt;"",#REF!&lt;&gt;"",#REF!&lt;&gt;"",#REF!&lt;&gt;"",#REF!&lt;&gt;"",#REF!&lt;&gt;"",AN50&lt;&gt;"",#REF!&lt;&gt;"",#REF!="",#REF!="",AO50&lt;&gt;"",#REF!&lt;&gt;"",#REF!="",#REF!="",#REF!&lt;&gt;"",(IF((OR(#REF!="No Trans-Shipments",#REF!="")),(AND(#REF!="",#REF!="")),(IF(#REF!="1 Trans-Shipment",(AND(#REF!&lt;&gt;"",#REF!="")),(AND(#REF!&lt;&gt;"",#REF!&lt;&gt;"")))))),#REF!&lt;&gt;""),"Complete Bid","Incomplete Bid")))))</f>
        <v>#REF!</v>
      </c>
      <c r="AQ50" s="25" t="n">
        <f aca="false">(IF((F50="Door to Port"),(IF(AND(AC50="",AF50="",AG50="",AJ50="",AK50=99999,#REF!="",#REF!="",#REF!="",#REF!="",#REF!="",#REF!="",AN50="",#REF!="",#REF!="",#REF!="",AO50&lt;&gt;"",#REF!&lt;&gt;"",#REF!="",#REF!="",#REF!="",#REF!=""),"No Bid",IF(AND(AC50&lt;&gt;"",AF50&lt;&gt;"",AG50&lt;&gt;"",AJ50&lt;&gt;"",AK50=99999,#REF!&lt;&gt;"",#REF!&lt;&gt;"",#REF!&lt;&gt;"",#REF!&lt;&gt;"",#REF!&lt;&gt;"",#REF!&lt;&gt;"",AN50&lt;&gt;"",#REF!&lt;&gt;"",OR(#REF!="",#REF!&lt;&gt;""),#REF!&lt;&gt;"",AO50&lt;&gt;"",#REF!&lt;&gt;"",#REF!="",#REF!="",#REF!&lt;&gt;"",(IF((OR((#REF!="No Trans-Shipments"),(#REF!=""))),(AND(#REF!="",#REF!="")),(IF(#REF!="1 Trans-Shipment",(AND(#REF!&lt;&gt;"",#REF!="")),(AND(#REF!&lt;&gt;"",#REF!&lt;&gt;"")))))),#REF!&lt;&gt;""),"Complete Bid","Incomplete Bid")))))</f>
        <v>0</v>
      </c>
      <c r="AR50" s="25" t="n">
        <f aca="false">(IF((F50="Port to Door"),(IF(AND(AC50=99999,OR(AF50="",AF50=99999),AG50="",AJ50="",AK50="",#REF!="",#REF!="",#REF!="",#REF!="",#REF!="",#REF!="",AN50&lt;&gt;"",#REF!&lt;&gt;"",#REF!="",#REF!="",AO50="",#REF!="",#REF!="",#REF!="",#REF!="",#REF!=""),"No Bid",IF(AND(AC50=99999,OR(AF50&lt;&gt;"",AF50=99999),AG50&lt;&gt;"",AJ50&lt;&gt;"",AK50&lt;&gt;"",#REF!&lt;&gt;"",#REF!&lt;&gt;"",#REF!&lt;&gt;"",#REF!&lt;&gt;"",#REF!&lt;&gt;"",#REF!&lt;&gt;"",AN50&lt;&gt;"",#REF!&lt;&gt;"",#REF!="",#REF!="",AO50&lt;&gt;"",#REF!&lt;&gt;"",OR(#REF!&lt;&gt;"",#REF!=""),#REF!&lt;&gt;"",#REF!&lt;&gt;"",(IF((OR(#REF!="No Trans-Shipments",#REF!="")),(AND(#REF!="",#REF!="")),(IF(#REF!="1 Trans-Shipment",(AND(#REF!&lt;&gt;"",#REF!="")),(AND(#REF!&lt;&gt;"",#REF!&lt;&gt;"")))))),#REF!&lt;&gt;""),"Complete Bid","Incomplete Bid")))))</f>
        <v>0</v>
      </c>
      <c r="AS50" s="25" t="n">
        <f aca="false">(IF((F50="Door to Door"),(IF(AND(AC50="",AF50="",AG50="",AJ50="",AK50="",#REF!="",#REF!="",#REF!="",#REF!="",#REF!="",#REF!="",AN50="",#REF!="",#REF!="",#REF!="",AO50="",#REF!="",#REF!="",#REF!="",#REF!="",#REF!=""),"No Bid",IF(AND(AC50&lt;&gt;"",AF50&lt;&gt;"",AG50&lt;&gt;"",AJ50&lt;&gt;"",AK50&lt;&gt;"",#REF!&lt;&gt;"",#REF!&lt;&gt;"",#REF!&lt;&gt;"",#REF!&lt;&gt;"",#REF!&lt;&gt;"",#REF!&lt;&gt;"",AN50&lt;&gt;"",#REF!&lt;&gt;"",OR(#REF!&lt;&gt;"",#REF!=""),#REF!&lt;&gt;"",AO50&lt;&gt;"",#REF!&lt;&gt;"",OR(#REF!&lt;&gt;"",#REF!=""),#REF!&lt;&gt;"",#REF!&lt;&gt;"",(IF((OR(#REF!="No Trans-Shipments",#REF!="")),(AND(#REF!="",#REF!="")),(IF(#REF!="1 Trans-Shipment",(AND(#REF!&lt;&gt;"",#REF!="")),(AND(#REF!&lt;&gt;"",#REF!&lt;&gt;"")))))),#REF!&lt;&gt;""),"Complete Bid","Incomplete Bid")))))</f>
        <v>0</v>
      </c>
    </row>
    <row r="51" customFormat="false" ht="12.75" hidden="false" customHeight="true" outlineLevel="0" collapsed="false">
      <c r="A51" s="2" t="s">
        <v>56</v>
      </c>
      <c r="B51" s="23" t="s">
        <v>287</v>
      </c>
      <c r="C51" s="3" t="s">
        <v>58</v>
      </c>
      <c r="D51" s="3" t="s">
        <v>288</v>
      </c>
      <c r="E51" s="3" t="s">
        <v>120</v>
      </c>
      <c r="F51" s="3" t="s">
        <v>61</v>
      </c>
      <c r="G51" s="3" t="s">
        <v>289</v>
      </c>
      <c r="H51" s="3" t="s">
        <v>58</v>
      </c>
      <c r="I51" s="3" t="s">
        <v>123</v>
      </c>
      <c r="J51" s="3" t="s">
        <v>124</v>
      </c>
      <c r="K51" s="3" t="s">
        <v>58</v>
      </c>
      <c r="L51" s="3" t="s">
        <v>290</v>
      </c>
      <c r="M51" s="3" t="s">
        <v>290</v>
      </c>
      <c r="N51" s="3" t="s">
        <v>66</v>
      </c>
      <c r="O51" s="3"/>
      <c r="P51" s="3" t="s">
        <v>68</v>
      </c>
      <c r="Q51" s="3"/>
      <c r="R51" s="3" t="s">
        <v>291</v>
      </c>
      <c r="S51" s="3"/>
      <c r="T51" s="3" t="s">
        <v>292</v>
      </c>
      <c r="U51" s="3"/>
      <c r="V51" s="4" t="n">
        <v>36</v>
      </c>
      <c r="W51" s="4"/>
      <c r="X51" s="4" t="n">
        <v>14</v>
      </c>
      <c r="Y51" s="4" t="n">
        <v>7</v>
      </c>
      <c r="Z51" s="4" t="n">
        <v>3</v>
      </c>
      <c r="AA51" s="4" t="n">
        <v>21</v>
      </c>
      <c r="AB51" s="4" t="n">
        <v>40</v>
      </c>
      <c r="AC51" s="5" t="n">
        <v>99999</v>
      </c>
      <c r="AD51" s="3" t="s">
        <v>128</v>
      </c>
      <c r="AE51" s="6" t="n">
        <v>1177.1217125</v>
      </c>
      <c r="AF51" s="5" t="n">
        <v>116</v>
      </c>
      <c r="AG51" s="5" t="n">
        <v>1269</v>
      </c>
      <c r="AH51" s="3" t="s">
        <v>293</v>
      </c>
      <c r="AI51" s="6" t="n">
        <v>1.3630404167</v>
      </c>
      <c r="AJ51" s="7"/>
      <c r="AK51" s="5" t="n">
        <v>99999</v>
      </c>
      <c r="AL51" s="4" t="n">
        <f aca="false">(IF(AC51=99999,0,AC51))+((IF(AF51=99999,0,AF51))/AE51)+AG51+(AJ51/AI51)+(IF(AK51=99999,0,AK51))</f>
        <v>1269.09854545946</v>
      </c>
      <c r="AM51" s="4" t="n">
        <f aca="false">AL51+AB51</f>
        <v>1309.09854545946</v>
      </c>
      <c r="AN51" s="8" t="s">
        <v>124</v>
      </c>
      <c r="AO51" s="8" t="s">
        <v>290</v>
      </c>
      <c r="AP51" s="24" t="e">
        <f aca="false">(IF((F51="Port to Port"),(IF(AND(AC51=99999,OR(AF51="",AF51=99999),AG51="",AJ51="",AK51=99999,#REF!="",#REF!="",#REF!="",#REF!="",#REF!="",#REF!="",AN51&lt;&gt;"",#REF!&lt;&gt;"",#REF!="",#REF!="",AO51&lt;&gt;"",#REF!&lt;&gt;"",#REF!="",#REF!="",#REF!="",#REF!=""),"No Bid",IF(AND(AC51=99999,OR(AF51&lt;&gt;"",AF51=99999),AG51&lt;&gt;"",AJ51&lt;&gt;"",AK51=99999,#REF!&lt;&gt;"",#REF!&lt;&gt;"",#REF!&lt;&gt;"",#REF!&lt;&gt;"",#REF!&lt;&gt;"",#REF!&lt;&gt;"",AN51&lt;&gt;"",#REF!&lt;&gt;"",#REF!="",#REF!="",AO51&lt;&gt;"",#REF!&lt;&gt;"",#REF!="",#REF!="",#REF!&lt;&gt;"",(IF((OR(#REF!="No Trans-Shipments",#REF!="")),(AND(#REF!="",#REF!="")),(IF(#REF!="1 Trans-Shipment",(AND(#REF!&lt;&gt;"",#REF!="")),(AND(#REF!&lt;&gt;"",#REF!&lt;&gt;"")))))),#REF!&lt;&gt;""),"Complete Bid","Incomplete Bid")))))</f>
        <v>#REF!</v>
      </c>
      <c r="AQ51" s="25" t="n">
        <f aca="false">(IF((F51="Door to Port"),(IF(AND(AC51="",AF51="",AG51="",AJ51="",AK51=99999,#REF!="",#REF!="",#REF!="",#REF!="",#REF!="",#REF!="",AN51="",#REF!="",#REF!="",#REF!="",AO51&lt;&gt;"",#REF!&lt;&gt;"",#REF!="",#REF!="",#REF!="",#REF!=""),"No Bid",IF(AND(AC51&lt;&gt;"",AF51&lt;&gt;"",AG51&lt;&gt;"",AJ51&lt;&gt;"",AK51=99999,#REF!&lt;&gt;"",#REF!&lt;&gt;"",#REF!&lt;&gt;"",#REF!&lt;&gt;"",#REF!&lt;&gt;"",#REF!&lt;&gt;"",AN51&lt;&gt;"",#REF!&lt;&gt;"",OR(#REF!="",#REF!&lt;&gt;""),#REF!&lt;&gt;"",AO51&lt;&gt;"",#REF!&lt;&gt;"",#REF!="",#REF!="",#REF!&lt;&gt;"",(IF((OR((#REF!="No Trans-Shipments"),(#REF!=""))),(AND(#REF!="",#REF!="")),(IF(#REF!="1 Trans-Shipment",(AND(#REF!&lt;&gt;"",#REF!="")),(AND(#REF!&lt;&gt;"",#REF!&lt;&gt;"")))))),#REF!&lt;&gt;""),"Complete Bid","Incomplete Bid")))))</f>
        <v>0</v>
      </c>
      <c r="AR51" s="25" t="n">
        <f aca="false">(IF((F51="Port to Door"),(IF(AND(AC51=99999,OR(AF51="",AF51=99999),AG51="",AJ51="",AK51="",#REF!="",#REF!="",#REF!="",#REF!="",#REF!="",#REF!="",AN51&lt;&gt;"",#REF!&lt;&gt;"",#REF!="",#REF!="",AO51="",#REF!="",#REF!="",#REF!="",#REF!="",#REF!=""),"No Bid",IF(AND(AC51=99999,OR(AF51&lt;&gt;"",AF51=99999),AG51&lt;&gt;"",AJ51&lt;&gt;"",AK51&lt;&gt;"",#REF!&lt;&gt;"",#REF!&lt;&gt;"",#REF!&lt;&gt;"",#REF!&lt;&gt;"",#REF!&lt;&gt;"",#REF!&lt;&gt;"",AN51&lt;&gt;"",#REF!&lt;&gt;"",#REF!="",#REF!="",AO51&lt;&gt;"",#REF!&lt;&gt;"",OR(#REF!&lt;&gt;"",#REF!=""),#REF!&lt;&gt;"",#REF!&lt;&gt;"",(IF((OR(#REF!="No Trans-Shipments",#REF!="")),(AND(#REF!="",#REF!="")),(IF(#REF!="1 Trans-Shipment",(AND(#REF!&lt;&gt;"",#REF!="")),(AND(#REF!&lt;&gt;"",#REF!&lt;&gt;"")))))),#REF!&lt;&gt;""),"Complete Bid","Incomplete Bid")))))</f>
        <v>0</v>
      </c>
      <c r="AS51" s="25" t="n">
        <f aca="false">(IF((F51="Door to Door"),(IF(AND(AC51="",AF51="",AG51="",AJ51="",AK51="",#REF!="",#REF!="",#REF!="",#REF!="",#REF!="",#REF!="",AN51="",#REF!="",#REF!="",#REF!="",AO51="",#REF!="",#REF!="",#REF!="",#REF!="",#REF!=""),"No Bid",IF(AND(AC51&lt;&gt;"",AF51&lt;&gt;"",AG51&lt;&gt;"",AJ51&lt;&gt;"",AK51&lt;&gt;"",#REF!&lt;&gt;"",#REF!&lt;&gt;"",#REF!&lt;&gt;"",#REF!&lt;&gt;"",#REF!&lt;&gt;"",#REF!&lt;&gt;"",AN51&lt;&gt;"",#REF!&lt;&gt;"",OR(#REF!&lt;&gt;"",#REF!=""),#REF!&lt;&gt;"",AO51&lt;&gt;"",#REF!&lt;&gt;"",OR(#REF!&lt;&gt;"",#REF!=""),#REF!&lt;&gt;"",#REF!&lt;&gt;"",(IF((OR(#REF!="No Trans-Shipments",#REF!="")),(AND(#REF!="",#REF!="")),(IF(#REF!="1 Trans-Shipment",(AND(#REF!&lt;&gt;"",#REF!="")),(AND(#REF!&lt;&gt;"",#REF!&lt;&gt;"")))))),#REF!&lt;&gt;""),"Complete Bid","Incomplete Bid")))))</f>
        <v>0</v>
      </c>
    </row>
    <row r="52" customFormat="false" ht="12.75" hidden="false" customHeight="true" outlineLevel="0" collapsed="false">
      <c r="A52" s="2" t="s">
        <v>56</v>
      </c>
      <c r="B52" s="23" t="s">
        <v>294</v>
      </c>
      <c r="C52" s="3" t="s">
        <v>58</v>
      </c>
      <c r="D52" s="3" t="s">
        <v>295</v>
      </c>
      <c r="E52" s="3" t="s">
        <v>120</v>
      </c>
      <c r="F52" s="3" t="s">
        <v>61</v>
      </c>
      <c r="G52" s="3" t="s">
        <v>289</v>
      </c>
      <c r="H52" s="3" t="s">
        <v>58</v>
      </c>
      <c r="I52" s="3" t="s">
        <v>123</v>
      </c>
      <c r="J52" s="3" t="s">
        <v>124</v>
      </c>
      <c r="K52" s="3" t="s">
        <v>58</v>
      </c>
      <c r="L52" s="3" t="s">
        <v>290</v>
      </c>
      <c r="M52" s="3" t="s">
        <v>290</v>
      </c>
      <c r="N52" s="3" t="s">
        <v>80</v>
      </c>
      <c r="O52" s="3"/>
      <c r="P52" s="3" t="s">
        <v>68</v>
      </c>
      <c r="Q52" s="3"/>
      <c r="R52" s="3" t="s">
        <v>291</v>
      </c>
      <c r="S52" s="3"/>
      <c r="T52" s="3" t="s">
        <v>292</v>
      </c>
      <c r="U52" s="3"/>
      <c r="V52" s="4" t="n">
        <v>84</v>
      </c>
      <c r="W52" s="4" t="s">
        <v>296</v>
      </c>
      <c r="X52" s="4" t="n">
        <v>14</v>
      </c>
      <c r="Y52" s="4" t="n">
        <v>7</v>
      </c>
      <c r="Z52" s="4" t="n">
        <v>3</v>
      </c>
      <c r="AA52" s="4" t="n">
        <v>21</v>
      </c>
      <c r="AB52" s="4" t="n">
        <v>80</v>
      </c>
      <c r="AC52" s="5" t="n">
        <v>99999</v>
      </c>
      <c r="AD52" s="3" t="s">
        <v>128</v>
      </c>
      <c r="AE52" s="6" t="n">
        <v>1177.1217125</v>
      </c>
      <c r="AF52" s="5" t="n">
        <v>117</v>
      </c>
      <c r="AG52" s="5" t="n">
        <v>1270</v>
      </c>
      <c r="AH52" s="3" t="s">
        <v>293</v>
      </c>
      <c r="AI52" s="6" t="n">
        <v>1.3630404167</v>
      </c>
      <c r="AJ52" s="7"/>
      <c r="AK52" s="5" t="n">
        <v>99999</v>
      </c>
      <c r="AL52" s="4" t="n">
        <f aca="false">(IF(AC52=99999,0,AC52))+((IF(AF52=99999,0,AF52))/AE52)+AG52+(AJ52/AI52)+(IF(AK52=99999,0,AK52))</f>
        <v>1270.09939498928</v>
      </c>
      <c r="AM52" s="4" t="n">
        <f aca="false">AL52+AB52</f>
        <v>1350.09939498928</v>
      </c>
      <c r="AN52" s="8" t="s">
        <v>124</v>
      </c>
      <c r="AO52" s="8" t="s">
        <v>290</v>
      </c>
      <c r="AP52" s="24" t="e">
        <f aca="false">(IF((F52="Port to Port"),(IF(AND(AC52=99999,OR(AF52="",AF52=99999),AG52="",AJ52="",AK52=99999,#REF!="",#REF!="",#REF!="",#REF!="",#REF!="",#REF!="",AN52&lt;&gt;"",#REF!&lt;&gt;"",#REF!="",#REF!="",AO52&lt;&gt;"",#REF!&lt;&gt;"",#REF!="",#REF!="",#REF!="",#REF!=""),"No Bid",IF(AND(AC52=99999,OR(AF52&lt;&gt;"",AF52=99999),AG52&lt;&gt;"",AJ52&lt;&gt;"",AK52=99999,#REF!&lt;&gt;"",#REF!&lt;&gt;"",#REF!&lt;&gt;"",#REF!&lt;&gt;"",#REF!&lt;&gt;"",#REF!&lt;&gt;"",AN52&lt;&gt;"",#REF!&lt;&gt;"",#REF!="",#REF!="",AO52&lt;&gt;"",#REF!&lt;&gt;"",#REF!="",#REF!="",#REF!&lt;&gt;"",(IF((OR(#REF!="No Trans-Shipments",#REF!="")),(AND(#REF!="",#REF!="")),(IF(#REF!="1 Trans-Shipment",(AND(#REF!&lt;&gt;"",#REF!="")),(AND(#REF!&lt;&gt;"",#REF!&lt;&gt;"")))))),#REF!&lt;&gt;""),"Complete Bid","Incomplete Bid")))))</f>
        <v>#REF!</v>
      </c>
      <c r="AQ52" s="25" t="n">
        <f aca="false">(IF((F52="Door to Port"),(IF(AND(AC52="",AF52="",AG52="",AJ52="",AK52=99999,#REF!="",#REF!="",#REF!="",#REF!="",#REF!="",#REF!="",AN52="",#REF!="",#REF!="",#REF!="",AO52&lt;&gt;"",#REF!&lt;&gt;"",#REF!="",#REF!="",#REF!="",#REF!=""),"No Bid",IF(AND(AC52&lt;&gt;"",AF52&lt;&gt;"",AG52&lt;&gt;"",AJ52&lt;&gt;"",AK52=99999,#REF!&lt;&gt;"",#REF!&lt;&gt;"",#REF!&lt;&gt;"",#REF!&lt;&gt;"",#REF!&lt;&gt;"",#REF!&lt;&gt;"",AN52&lt;&gt;"",#REF!&lt;&gt;"",OR(#REF!="",#REF!&lt;&gt;""),#REF!&lt;&gt;"",AO52&lt;&gt;"",#REF!&lt;&gt;"",#REF!="",#REF!="",#REF!&lt;&gt;"",(IF((OR((#REF!="No Trans-Shipments"),(#REF!=""))),(AND(#REF!="",#REF!="")),(IF(#REF!="1 Trans-Shipment",(AND(#REF!&lt;&gt;"",#REF!="")),(AND(#REF!&lt;&gt;"",#REF!&lt;&gt;"")))))),#REF!&lt;&gt;""),"Complete Bid","Incomplete Bid")))))</f>
        <v>0</v>
      </c>
      <c r="AR52" s="25" t="n">
        <f aca="false">(IF((F52="Port to Door"),(IF(AND(AC52=99999,OR(AF52="",AF52=99999),AG52="",AJ52="",AK52="",#REF!="",#REF!="",#REF!="",#REF!="",#REF!="",#REF!="",AN52&lt;&gt;"",#REF!&lt;&gt;"",#REF!="",#REF!="",AO52="",#REF!="",#REF!="",#REF!="",#REF!="",#REF!=""),"No Bid",IF(AND(AC52=99999,OR(AF52&lt;&gt;"",AF52=99999),AG52&lt;&gt;"",AJ52&lt;&gt;"",AK52&lt;&gt;"",#REF!&lt;&gt;"",#REF!&lt;&gt;"",#REF!&lt;&gt;"",#REF!&lt;&gt;"",#REF!&lt;&gt;"",#REF!&lt;&gt;"",AN52&lt;&gt;"",#REF!&lt;&gt;"",#REF!="",#REF!="",AO52&lt;&gt;"",#REF!&lt;&gt;"",OR(#REF!&lt;&gt;"",#REF!=""),#REF!&lt;&gt;"",#REF!&lt;&gt;"",(IF((OR(#REF!="No Trans-Shipments",#REF!="")),(AND(#REF!="",#REF!="")),(IF(#REF!="1 Trans-Shipment",(AND(#REF!&lt;&gt;"",#REF!="")),(AND(#REF!&lt;&gt;"",#REF!&lt;&gt;"")))))),#REF!&lt;&gt;""),"Complete Bid","Incomplete Bid")))))</f>
        <v>0</v>
      </c>
      <c r="AS52" s="25" t="n">
        <f aca="false">(IF((F52="Door to Door"),(IF(AND(AC52="",AF52="",AG52="",AJ52="",AK52="",#REF!="",#REF!="",#REF!="",#REF!="",#REF!="",#REF!="",AN52="",#REF!="",#REF!="",#REF!="",AO52="",#REF!="",#REF!="",#REF!="",#REF!="",#REF!=""),"No Bid",IF(AND(AC52&lt;&gt;"",AF52&lt;&gt;"",AG52&lt;&gt;"",AJ52&lt;&gt;"",AK52&lt;&gt;"",#REF!&lt;&gt;"",#REF!&lt;&gt;"",#REF!&lt;&gt;"",#REF!&lt;&gt;"",#REF!&lt;&gt;"",#REF!&lt;&gt;"",AN52&lt;&gt;"",#REF!&lt;&gt;"",OR(#REF!&lt;&gt;"",#REF!=""),#REF!&lt;&gt;"",AO52&lt;&gt;"",#REF!&lt;&gt;"",OR(#REF!&lt;&gt;"",#REF!=""),#REF!&lt;&gt;"",#REF!&lt;&gt;"",(IF((OR(#REF!="No Trans-Shipments",#REF!="")),(AND(#REF!="",#REF!="")),(IF(#REF!="1 Trans-Shipment",(AND(#REF!&lt;&gt;"",#REF!="")),(AND(#REF!&lt;&gt;"",#REF!&lt;&gt;"")))))),#REF!&lt;&gt;""),"Complete Bid","Incomplete Bid")))))</f>
        <v>0</v>
      </c>
    </row>
    <row r="53" customFormat="false" ht="12.75" hidden="false" customHeight="true" outlineLevel="0" collapsed="false">
      <c r="A53" s="2" t="s">
        <v>56</v>
      </c>
      <c r="B53" s="23" t="s">
        <v>297</v>
      </c>
      <c r="C53" s="3" t="s">
        <v>58</v>
      </c>
      <c r="D53" s="3" t="s">
        <v>298</v>
      </c>
      <c r="E53" s="3" t="s">
        <v>145</v>
      </c>
      <c r="F53" s="3" t="s">
        <v>61</v>
      </c>
      <c r="G53" s="3" t="s">
        <v>146</v>
      </c>
      <c r="H53" s="3" t="s">
        <v>58</v>
      </c>
      <c r="I53" s="3" t="s">
        <v>123</v>
      </c>
      <c r="J53" s="3" t="s">
        <v>124</v>
      </c>
      <c r="K53" s="3" t="s">
        <v>58</v>
      </c>
      <c r="L53" s="3" t="s">
        <v>86</v>
      </c>
      <c r="M53" s="3" t="s">
        <v>87</v>
      </c>
      <c r="N53" s="3" t="s">
        <v>66</v>
      </c>
      <c r="O53" s="3"/>
      <c r="P53" s="3" t="s">
        <v>68</v>
      </c>
      <c r="Q53" s="3"/>
      <c r="R53" s="3" t="s">
        <v>126</v>
      </c>
      <c r="S53" s="3"/>
      <c r="T53" s="3" t="s">
        <v>299</v>
      </c>
      <c r="U53" s="3"/>
      <c r="V53" s="4" t="n">
        <v>16</v>
      </c>
      <c r="W53" s="4"/>
      <c r="X53" s="4" t="n">
        <v>14</v>
      </c>
      <c r="Y53" s="4" t="n">
        <v>7</v>
      </c>
      <c r="Z53" s="4" t="n">
        <v>5</v>
      </c>
      <c r="AA53" s="4" t="n">
        <v>30</v>
      </c>
      <c r="AB53" s="4" t="n">
        <v>271</v>
      </c>
      <c r="AC53" s="5" t="n">
        <v>99999</v>
      </c>
      <c r="AD53" s="3" t="s">
        <v>128</v>
      </c>
      <c r="AE53" s="6" t="n">
        <v>1177.1217125</v>
      </c>
      <c r="AF53" s="5" t="n">
        <v>118</v>
      </c>
      <c r="AG53" s="5" t="n">
        <v>1271</v>
      </c>
      <c r="AH53" s="3" t="s">
        <v>91</v>
      </c>
      <c r="AI53" s="6" t="n">
        <v>1.3964683333</v>
      </c>
      <c r="AJ53" s="7"/>
      <c r="AK53" s="5" t="n">
        <v>99999</v>
      </c>
      <c r="AL53" s="4" t="n">
        <f aca="false">(IF(AC53=99999,0,AC53))+((IF(AF53=99999,0,AF53))/AE53)+AG53+(AJ53/AI53)+(IF(AK53=99999,0,AK53))</f>
        <v>1271.10024451911</v>
      </c>
      <c r="AM53" s="4" t="n">
        <f aca="false">AL53+AB53</f>
        <v>1542.10024451911</v>
      </c>
      <c r="AN53" s="8" t="s">
        <v>124</v>
      </c>
      <c r="AO53" s="8" t="s">
        <v>87</v>
      </c>
      <c r="AP53" s="24" t="e">
        <f aca="false">(IF((F53="Port to Port"),(IF(AND(AC53=99999,OR(AF53="",AF53=99999),AG53="",AJ53="",AK53=99999,#REF!="",#REF!="",#REF!="",#REF!="",#REF!="",#REF!="",AN53&lt;&gt;"",#REF!&lt;&gt;"",#REF!="",#REF!="",AO53&lt;&gt;"",#REF!&lt;&gt;"",#REF!="",#REF!="",#REF!="",#REF!=""),"No Bid",IF(AND(AC53=99999,OR(AF53&lt;&gt;"",AF53=99999),AG53&lt;&gt;"",AJ53&lt;&gt;"",AK53=99999,#REF!&lt;&gt;"",#REF!&lt;&gt;"",#REF!&lt;&gt;"",#REF!&lt;&gt;"",#REF!&lt;&gt;"",#REF!&lt;&gt;"",AN53&lt;&gt;"",#REF!&lt;&gt;"",#REF!="",#REF!="",AO53&lt;&gt;"",#REF!&lt;&gt;"",#REF!="",#REF!="",#REF!&lt;&gt;"",(IF((OR(#REF!="No Trans-Shipments",#REF!="")),(AND(#REF!="",#REF!="")),(IF(#REF!="1 Trans-Shipment",(AND(#REF!&lt;&gt;"",#REF!="")),(AND(#REF!&lt;&gt;"",#REF!&lt;&gt;"")))))),#REF!&lt;&gt;""),"Complete Bid","Incomplete Bid")))))</f>
        <v>#REF!</v>
      </c>
      <c r="AQ53" s="25" t="n">
        <f aca="false">(IF((F53="Door to Port"),(IF(AND(AC53="",AF53="",AG53="",AJ53="",AK53=99999,#REF!="",#REF!="",#REF!="",#REF!="",#REF!="",#REF!="",AN53="",#REF!="",#REF!="",#REF!="",AO53&lt;&gt;"",#REF!&lt;&gt;"",#REF!="",#REF!="",#REF!="",#REF!=""),"No Bid",IF(AND(AC53&lt;&gt;"",AF53&lt;&gt;"",AG53&lt;&gt;"",AJ53&lt;&gt;"",AK53=99999,#REF!&lt;&gt;"",#REF!&lt;&gt;"",#REF!&lt;&gt;"",#REF!&lt;&gt;"",#REF!&lt;&gt;"",#REF!&lt;&gt;"",AN53&lt;&gt;"",#REF!&lt;&gt;"",OR(#REF!="",#REF!&lt;&gt;""),#REF!&lt;&gt;"",AO53&lt;&gt;"",#REF!&lt;&gt;"",#REF!="",#REF!="",#REF!&lt;&gt;"",(IF((OR((#REF!="No Trans-Shipments"),(#REF!=""))),(AND(#REF!="",#REF!="")),(IF(#REF!="1 Trans-Shipment",(AND(#REF!&lt;&gt;"",#REF!="")),(AND(#REF!&lt;&gt;"",#REF!&lt;&gt;"")))))),#REF!&lt;&gt;""),"Complete Bid","Incomplete Bid")))))</f>
        <v>0</v>
      </c>
      <c r="AR53" s="25" t="n">
        <f aca="false">(IF((F53="Port to Door"),(IF(AND(AC53=99999,OR(AF53="",AF53=99999),AG53="",AJ53="",AK53="",#REF!="",#REF!="",#REF!="",#REF!="",#REF!="",#REF!="",AN53&lt;&gt;"",#REF!&lt;&gt;"",#REF!="",#REF!="",AO53="",#REF!="",#REF!="",#REF!="",#REF!="",#REF!=""),"No Bid",IF(AND(AC53=99999,OR(AF53&lt;&gt;"",AF53=99999),AG53&lt;&gt;"",AJ53&lt;&gt;"",AK53&lt;&gt;"",#REF!&lt;&gt;"",#REF!&lt;&gt;"",#REF!&lt;&gt;"",#REF!&lt;&gt;"",#REF!&lt;&gt;"",#REF!&lt;&gt;"",AN53&lt;&gt;"",#REF!&lt;&gt;"",#REF!="",#REF!="",AO53&lt;&gt;"",#REF!&lt;&gt;"",OR(#REF!&lt;&gt;"",#REF!=""),#REF!&lt;&gt;"",#REF!&lt;&gt;"",(IF((OR(#REF!="No Trans-Shipments",#REF!="")),(AND(#REF!="",#REF!="")),(IF(#REF!="1 Trans-Shipment",(AND(#REF!&lt;&gt;"",#REF!="")),(AND(#REF!&lt;&gt;"",#REF!&lt;&gt;"")))))),#REF!&lt;&gt;""),"Complete Bid","Incomplete Bid")))))</f>
        <v>0</v>
      </c>
      <c r="AS53" s="25" t="n">
        <f aca="false">(IF((F53="Door to Door"),(IF(AND(AC53="",AF53="",AG53="",AJ53="",AK53="",#REF!="",#REF!="",#REF!="",#REF!="",#REF!="",#REF!="",AN53="",#REF!="",#REF!="",#REF!="",AO53="",#REF!="",#REF!="",#REF!="",#REF!="",#REF!=""),"No Bid",IF(AND(AC53&lt;&gt;"",AF53&lt;&gt;"",AG53&lt;&gt;"",AJ53&lt;&gt;"",AK53&lt;&gt;"",#REF!&lt;&gt;"",#REF!&lt;&gt;"",#REF!&lt;&gt;"",#REF!&lt;&gt;"",#REF!&lt;&gt;"",#REF!&lt;&gt;"",AN53&lt;&gt;"",#REF!&lt;&gt;"",OR(#REF!&lt;&gt;"",#REF!=""),#REF!&lt;&gt;"",AO53&lt;&gt;"",#REF!&lt;&gt;"",OR(#REF!&lt;&gt;"",#REF!=""),#REF!&lt;&gt;"",#REF!&lt;&gt;"",(IF((OR(#REF!="No Trans-Shipments",#REF!="")),(AND(#REF!="",#REF!="")),(IF(#REF!="1 Trans-Shipment",(AND(#REF!&lt;&gt;"",#REF!="")),(AND(#REF!&lt;&gt;"",#REF!&lt;&gt;"")))))),#REF!&lt;&gt;""),"Complete Bid","Incomplete Bid")))))</f>
        <v>0</v>
      </c>
    </row>
    <row r="54" customFormat="false" ht="12.75" hidden="false" customHeight="true" outlineLevel="0" collapsed="false">
      <c r="A54" s="2" t="s">
        <v>56</v>
      </c>
      <c r="B54" s="23" t="s">
        <v>300</v>
      </c>
      <c r="C54" s="3" t="s">
        <v>58</v>
      </c>
      <c r="D54" s="3" t="s">
        <v>301</v>
      </c>
      <c r="E54" s="3" t="s">
        <v>145</v>
      </c>
      <c r="F54" s="3" t="s">
        <v>61</v>
      </c>
      <c r="G54" s="3" t="s">
        <v>146</v>
      </c>
      <c r="H54" s="3" t="s">
        <v>58</v>
      </c>
      <c r="I54" s="3" t="s">
        <v>123</v>
      </c>
      <c r="J54" s="3" t="s">
        <v>124</v>
      </c>
      <c r="K54" s="3" t="s">
        <v>58</v>
      </c>
      <c r="L54" s="3" t="s">
        <v>86</v>
      </c>
      <c r="M54" s="3" t="s">
        <v>87</v>
      </c>
      <c r="N54" s="3" t="s">
        <v>80</v>
      </c>
      <c r="O54" s="3"/>
      <c r="P54" s="3" t="s">
        <v>68</v>
      </c>
      <c r="Q54" s="3"/>
      <c r="R54" s="3" t="s">
        <v>126</v>
      </c>
      <c r="S54" s="3"/>
      <c r="T54" s="3" t="s">
        <v>299</v>
      </c>
      <c r="U54" s="3"/>
      <c r="V54" s="4" t="n">
        <v>1299</v>
      </c>
      <c r="W54" s="4" t="s">
        <v>302</v>
      </c>
      <c r="X54" s="4" t="n">
        <v>14</v>
      </c>
      <c r="Y54" s="4" t="n">
        <v>7</v>
      </c>
      <c r="Z54" s="4" t="n">
        <v>5</v>
      </c>
      <c r="AA54" s="4" t="n">
        <v>30</v>
      </c>
      <c r="AB54" s="4" t="n">
        <v>542</v>
      </c>
      <c r="AC54" s="5" t="n">
        <v>99999</v>
      </c>
      <c r="AD54" s="3" t="s">
        <v>128</v>
      </c>
      <c r="AE54" s="6" t="n">
        <v>1177.1217125</v>
      </c>
      <c r="AF54" s="5" t="n">
        <v>119</v>
      </c>
      <c r="AG54" s="5" t="n">
        <v>1272</v>
      </c>
      <c r="AH54" s="3" t="s">
        <v>91</v>
      </c>
      <c r="AI54" s="6" t="n">
        <v>1.3964683333</v>
      </c>
      <c r="AJ54" s="7"/>
      <c r="AK54" s="5" t="n">
        <v>99999</v>
      </c>
      <c r="AL54" s="4" t="n">
        <f aca="false">(IF(AC54=99999,0,AC54))+((IF(AF54=99999,0,AF54))/AE54)+AG54+(AJ54/AI54)+(IF(AK54=99999,0,AK54))</f>
        <v>1272.10109404893</v>
      </c>
      <c r="AM54" s="4" t="n">
        <f aca="false">AL54+AB54</f>
        <v>1814.10109404893</v>
      </c>
      <c r="AN54" s="8" t="s">
        <v>124</v>
      </c>
      <c r="AO54" s="8" t="s">
        <v>87</v>
      </c>
      <c r="AP54" s="24" t="e">
        <f aca="false">(IF((F54="Port to Port"),(IF(AND(AC54=99999,OR(AF54="",AF54=99999),AG54="",AJ54="",AK54=99999,#REF!="",#REF!="",#REF!="",#REF!="",#REF!="",#REF!="",AN54&lt;&gt;"",#REF!&lt;&gt;"",#REF!="",#REF!="",AO54&lt;&gt;"",#REF!&lt;&gt;"",#REF!="",#REF!="",#REF!="",#REF!=""),"No Bid",IF(AND(AC54=99999,OR(AF54&lt;&gt;"",AF54=99999),AG54&lt;&gt;"",AJ54&lt;&gt;"",AK54=99999,#REF!&lt;&gt;"",#REF!&lt;&gt;"",#REF!&lt;&gt;"",#REF!&lt;&gt;"",#REF!&lt;&gt;"",#REF!&lt;&gt;"",AN54&lt;&gt;"",#REF!&lt;&gt;"",#REF!="",#REF!="",AO54&lt;&gt;"",#REF!&lt;&gt;"",#REF!="",#REF!="",#REF!&lt;&gt;"",(IF((OR(#REF!="No Trans-Shipments",#REF!="")),(AND(#REF!="",#REF!="")),(IF(#REF!="1 Trans-Shipment",(AND(#REF!&lt;&gt;"",#REF!="")),(AND(#REF!&lt;&gt;"",#REF!&lt;&gt;"")))))),#REF!&lt;&gt;""),"Complete Bid","Incomplete Bid")))))</f>
        <v>#REF!</v>
      </c>
      <c r="AQ54" s="25" t="n">
        <f aca="false">(IF((F54="Door to Port"),(IF(AND(AC54="",AF54="",AG54="",AJ54="",AK54=99999,#REF!="",#REF!="",#REF!="",#REF!="",#REF!="",#REF!="",AN54="",#REF!="",#REF!="",#REF!="",AO54&lt;&gt;"",#REF!&lt;&gt;"",#REF!="",#REF!="",#REF!="",#REF!=""),"No Bid",IF(AND(AC54&lt;&gt;"",AF54&lt;&gt;"",AG54&lt;&gt;"",AJ54&lt;&gt;"",AK54=99999,#REF!&lt;&gt;"",#REF!&lt;&gt;"",#REF!&lt;&gt;"",#REF!&lt;&gt;"",#REF!&lt;&gt;"",#REF!&lt;&gt;"",AN54&lt;&gt;"",#REF!&lt;&gt;"",OR(#REF!="",#REF!&lt;&gt;""),#REF!&lt;&gt;"",AO54&lt;&gt;"",#REF!&lt;&gt;"",#REF!="",#REF!="",#REF!&lt;&gt;"",(IF((OR((#REF!="No Trans-Shipments"),(#REF!=""))),(AND(#REF!="",#REF!="")),(IF(#REF!="1 Trans-Shipment",(AND(#REF!&lt;&gt;"",#REF!="")),(AND(#REF!&lt;&gt;"",#REF!&lt;&gt;"")))))),#REF!&lt;&gt;""),"Complete Bid","Incomplete Bid")))))</f>
        <v>0</v>
      </c>
      <c r="AR54" s="25" t="n">
        <f aca="false">(IF((F54="Port to Door"),(IF(AND(AC54=99999,OR(AF54="",AF54=99999),AG54="",AJ54="",AK54="",#REF!="",#REF!="",#REF!="",#REF!="",#REF!="",#REF!="",AN54&lt;&gt;"",#REF!&lt;&gt;"",#REF!="",#REF!="",AO54="",#REF!="",#REF!="",#REF!="",#REF!="",#REF!=""),"No Bid",IF(AND(AC54=99999,OR(AF54&lt;&gt;"",AF54=99999),AG54&lt;&gt;"",AJ54&lt;&gt;"",AK54&lt;&gt;"",#REF!&lt;&gt;"",#REF!&lt;&gt;"",#REF!&lt;&gt;"",#REF!&lt;&gt;"",#REF!&lt;&gt;"",#REF!&lt;&gt;"",AN54&lt;&gt;"",#REF!&lt;&gt;"",#REF!="",#REF!="",AO54&lt;&gt;"",#REF!&lt;&gt;"",OR(#REF!&lt;&gt;"",#REF!=""),#REF!&lt;&gt;"",#REF!&lt;&gt;"",(IF((OR(#REF!="No Trans-Shipments",#REF!="")),(AND(#REF!="",#REF!="")),(IF(#REF!="1 Trans-Shipment",(AND(#REF!&lt;&gt;"",#REF!="")),(AND(#REF!&lt;&gt;"",#REF!&lt;&gt;"")))))),#REF!&lt;&gt;""),"Complete Bid","Incomplete Bid")))))</f>
        <v>0</v>
      </c>
      <c r="AS54" s="25" t="n">
        <f aca="false">(IF((F54="Door to Door"),(IF(AND(AC54="",AF54="",AG54="",AJ54="",AK54="",#REF!="",#REF!="",#REF!="",#REF!="",#REF!="",#REF!="",AN54="",#REF!="",#REF!="",#REF!="",AO54="",#REF!="",#REF!="",#REF!="",#REF!="",#REF!=""),"No Bid",IF(AND(AC54&lt;&gt;"",AF54&lt;&gt;"",AG54&lt;&gt;"",AJ54&lt;&gt;"",AK54&lt;&gt;"",#REF!&lt;&gt;"",#REF!&lt;&gt;"",#REF!&lt;&gt;"",#REF!&lt;&gt;"",#REF!&lt;&gt;"",#REF!&lt;&gt;"",AN54&lt;&gt;"",#REF!&lt;&gt;"",OR(#REF!&lt;&gt;"",#REF!=""),#REF!&lt;&gt;"",AO54&lt;&gt;"",#REF!&lt;&gt;"",OR(#REF!&lt;&gt;"",#REF!=""),#REF!&lt;&gt;"",#REF!&lt;&gt;"",(IF((OR(#REF!="No Trans-Shipments",#REF!="")),(AND(#REF!="",#REF!="")),(IF(#REF!="1 Trans-Shipment",(AND(#REF!&lt;&gt;"",#REF!="")),(AND(#REF!&lt;&gt;"",#REF!&lt;&gt;"")))))),#REF!&lt;&gt;""),"Complete Bid","Incomplete Bid")))))</f>
        <v>0</v>
      </c>
    </row>
    <row r="55" customFormat="false" ht="12.75" hidden="false" customHeight="true" outlineLevel="0" collapsed="false">
      <c r="A55" s="2" t="s">
        <v>56</v>
      </c>
      <c r="B55" s="23" t="s">
        <v>303</v>
      </c>
      <c r="C55" s="3" t="s">
        <v>58</v>
      </c>
      <c r="D55" s="3" t="s">
        <v>304</v>
      </c>
      <c r="E55" s="3" t="s">
        <v>120</v>
      </c>
      <c r="F55" s="3" t="s">
        <v>61</v>
      </c>
      <c r="G55" s="3" t="s">
        <v>146</v>
      </c>
      <c r="H55" s="3" t="s">
        <v>58</v>
      </c>
      <c r="I55" s="3" t="s">
        <v>123</v>
      </c>
      <c r="J55" s="3" t="s">
        <v>124</v>
      </c>
      <c r="K55" s="3" t="s">
        <v>58</v>
      </c>
      <c r="L55" s="3" t="s">
        <v>305</v>
      </c>
      <c r="M55" s="3" t="s">
        <v>306</v>
      </c>
      <c r="N55" s="3" t="s">
        <v>66</v>
      </c>
      <c r="O55" s="3"/>
      <c r="P55" s="3" t="s">
        <v>68</v>
      </c>
      <c r="Q55" s="3"/>
      <c r="R55" s="3" t="s">
        <v>126</v>
      </c>
      <c r="S55" s="3"/>
      <c r="T55" s="3" t="s">
        <v>307</v>
      </c>
      <c r="U55" s="3"/>
      <c r="V55" s="4" t="n">
        <v>27</v>
      </c>
      <c r="W55" s="4"/>
      <c r="X55" s="4" t="n">
        <v>14</v>
      </c>
      <c r="Y55" s="4" t="n">
        <v>7</v>
      </c>
      <c r="Z55" s="4" t="n">
        <v>17</v>
      </c>
      <c r="AA55" s="4" t="n">
        <v>7</v>
      </c>
      <c r="AB55" s="4" t="n">
        <v>40</v>
      </c>
      <c r="AC55" s="5" t="n">
        <v>99999</v>
      </c>
      <c r="AD55" s="3" t="s">
        <v>128</v>
      </c>
      <c r="AE55" s="6" t="n">
        <v>1177.1217125</v>
      </c>
      <c r="AF55" s="5" t="n">
        <v>120</v>
      </c>
      <c r="AG55" s="5" t="n">
        <v>1273</v>
      </c>
      <c r="AH55" s="3" t="s">
        <v>308</v>
      </c>
      <c r="AI55" s="6" t="n">
        <v>4.246720625</v>
      </c>
      <c r="AJ55" s="7"/>
      <c r="AK55" s="5" t="n">
        <v>99999</v>
      </c>
      <c r="AL55" s="4" t="n">
        <f aca="false">(IF(AC55=99999,0,AC55))+((IF(AF55=99999,0,AF55))/AE55)+AG55+(AJ55/AI55)+(IF(AK55=99999,0,AK55))</f>
        <v>1273.10194357875</v>
      </c>
      <c r="AM55" s="4" t="n">
        <f aca="false">AL55+AB55</f>
        <v>1313.10194357875</v>
      </c>
      <c r="AN55" s="8" t="s">
        <v>124</v>
      </c>
      <c r="AO55" s="8" t="s">
        <v>306</v>
      </c>
      <c r="AP55" s="24" t="e">
        <f aca="false">(IF((F55="Port to Port"),(IF(AND(AC55=99999,OR(AF55="",AF55=99999),AG55="",AJ55="",AK55=99999,#REF!="",#REF!="",#REF!="",#REF!="",#REF!="",#REF!="",AN55&lt;&gt;"",#REF!&lt;&gt;"",#REF!="",#REF!="",AO55&lt;&gt;"",#REF!&lt;&gt;"",#REF!="",#REF!="",#REF!="",#REF!=""),"No Bid",IF(AND(AC55=99999,OR(AF55&lt;&gt;"",AF55=99999),AG55&lt;&gt;"",AJ55&lt;&gt;"",AK55=99999,#REF!&lt;&gt;"",#REF!&lt;&gt;"",#REF!&lt;&gt;"",#REF!&lt;&gt;"",#REF!&lt;&gt;"",#REF!&lt;&gt;"",AN55&lt;&gt;"",#REF!&lt;&gt;"",#REF!="",#REF!="",AO55&lt;&gt;"",#REF!&lt;&gt;"",#REF!="",#REF!="",#REF!&lt;&gt;"",(IF((OR(#REF!="No Trans-Shipments",#REF!="")),(AND(#REF!="",#REF!="")),(IF(#REF!="1 Trans-Shipment",(AND(#REF!&lt;&gt;"",#REF!="")),(AND(#REF!&lt;&gt;"",#REF!&lt;&gt;"")))))),#REF!&lt;&gt;""),"Complete Bid","Incomplete Bid")))))</f>
        <v>#REF!</v>
      </c>
      <c r="AQ55" s="25" t="n">
        <f aca="false">(IF((F55="Door to Port"),(IF(AND(AC55="",AF55="",AG55="",AJ55="",AK55=99999,#REF!="",#REF!="",#REF!="",#REF!="",#REF!="",#REF!="",AN55="",#REF!="",#REF!="",#REF!="",AO55&lt;&gt;"",#REF!&lt;&gt;"",#REF!="",#REF!="",#REF!="",#REF!=""),"No Bid",IF(AND(AC55&lt;&gt;"",AF55&lt;&gt;"",AG55&lt;&gt;"",AJ55&lt;&gt;"",AK55=99999,#REF!&lt;&gt;"",#REF!&lt;&gt;"",#REF!&lt;&gt;"",#REF!&lt;&gt;"",#REF!&lt;&gt;"",#REF!&lt;&gt;"",AN55&lt;&gt;"",#REF!&lt;&gt;"",OR(#REF!="",#REF!&lt;&gt;""),#REF!&lt;&gt;"",AO55&lt;&gt;"",#REF!&lt;&gt;"",#REF!="",#REF!="",#REF!&lt;&gt;"",(IF((OR((#REF!="No Trans-Shipments"),(#REF!=""))),(AND(#REF!="",#REF!="")),(IF(#REF!="1 Trans-Shipment",(AND(#REF!&lt;&gt;"",#REF!="")),(AND(#REF!&lt;&gt;"",#REF!&lt;&gt;"")))))),#REF!&lt;&gt;""),"Complete Bid","Incomplete Bid")))))</f>
        <v>0</v>
      </c>
      <c r="AR55" s="25" t="n">
        <f aca="false">(IF((F55="Port to Door"),(IF(AND(AC55=99999,OR(AF55="",AF55=99999),AG55="",AJ55="",AK55="",#REF!="",#REF!="",#REF!="",#REF!="",#REF!="",#REF!="",AN55&lt;&gt;"",#REF!&lt;&gt;"",#REF!="",#REF!="",AO55="",#REF!="",#REF!="",#REF!="",#REF!="",#REF!=""),"No Bid",IF(AND(AC55=99999,OR(AF55&lt;&gt;"",AF55=99999),AG55&lt;&gt;"",AJ55&lt;&gt;"",AK55&lt;&gt;"",#REF!&lt;&gt;"",#REF!&lt;&gt;"",#REF!&lt;&gt;"",#REF!&lt;&gt;"",#REF!&lt;&gt;"",#REF!&lt;&gt;"",AN55&lt;&gt;"",#REF!&lt;&gt;"",#REF!="",#REF!="",AO55&lt;&gt;"",#REF!&lt;&gt;"",OR(#REF!&lt;&gt;"",#REF!=""),#REF!&lt;&gt;"",#REF!&lt;&gt;"",(IF((OR(#REF!="No Trans-Shipments",#REF!="")),(AND(#REF!="",#REF!="")),(IF(#REF!="1 Trans-Shipment",(AND(#REF!&lt;&gt;"",#REF!="")),(AND(#REF!&lt;&gt;"",#REF!&lt;&gt;"")))))),#REF!&lt;&gt;""),"Complete Bid","Incomplete Bid")))))</f>
        <v>0</v>
      </c>
      <c r="AS55" s="25" t="n">
        <f aca="false">(IF((F55="Door to Door"),(IF(AND(AC55="",AF55="",AG55="",AJ55="",AK55="",#REF!="",#REF!="",#REF!="",#REF!="",#REF!="",#REF!="",AN55="",#REF!="",#REF!="",#REF!="",AO55="",#REF!="",#REF!="",#REF!="",#REF!="",#REF!=""),"No Bid",IF(AND(AC55&lt;&gt;"",AF55&lt;&gt;"",AG55&lt;&gt;"",AJ55&lt;&gt;"",AK55&lt;&gt;"",#REF!&lt;&gt;"",#REF!&lt;&gt;"",#REF!&lt;&gt;"",#REF!&lt;&gt;"",#REF!&lt;&gt;"",#REF!&lt;&gt;"",AN55&lt;&gt;"",#REF!&lt;&gt;"",OR(#REF!&lt;&gt;"",#REF!=""),#REF!&lt;&gt;"",AO55&lt;&gt;"",#REF!&lt;&gt;"",OR(#REF!&lt;&gt;"",#REF!=""),#REF!&lt;&gt;"",#REF!&lt;&gt;"",(IF((OR(#REF!="No Trans-Shipments",#REF!="")),(AND(#REF!="",#REF!="")),(IF(#REF!="1 Trans-Shipment",(AND(#REF!&lt;&gt;"",#REF!="")),(AND(#REF!&lt;&gt;"",#REF!&lt;&gt;"")))))),#REF!&lt;&gt;""),"Complete Bid","Incomplete Bid")))))</f>
        <v>0</v>
      </c>
    </row>
    <row r="56" customFormat="false" ht="12.75" hidden="false" customHeight="true" outlineLevel="0" collapsed="false">
      <c r="A56" s="2" t="s">
        <v>56</v>
      </c>
      <c r="B56" s="23" t="s">
        <v>309</v>
      </c>
      <c r="C56" s="3" t="s">
        <v>58</v>
      </c>
      <c r="D56" s="3" t="s">
        <v>310</v>
      </c>
      <c r="E56" s="3" t="s">
        <v>120</v>
      </c>
      <c r="F56" s="3" t="s">
        <v>61</v>
      </c>
      <c r="G56" s="3" t="s">
        <v>146</v>
      </c>
      <c r="H56" s="3" t="s">
        <v>58</v>
      </c>
      <c r="I56" s="3" t="s">
        <v>123</v>
      </c>
      <c r="J56" s="3" t="s">
        <v>124</v>
      </c>
      <c r="K56" s="3" t="s">
        <v>58</v>
      </c>
      <c r="L56" s="3" t="s">
        <v>305</v>
      </c>
      <c r="M56" s="3" t="s">
        <v>306</v>
      </c>
      <c r="N56" s="3" t="s">
        <v>80</v>
      </c>
      <c r="O56" s="3"/>
      <c r="P56" s="3" t="s">
        <v>68</v>
      </c>
      <c r="Q56" s="3"/>
      <c r="R56" s="3" t="s">
        <v>126</v>
      </c>
      <c r="S56" s="3"/>
      <c r="T56" s="3" t="s">
        <v>307</v>
      </c>
      <c r="U56" s="3"/>
      <c r="V56" s="4" t="n">
        <v>283</v>
      </c>
      <c r="W56" s="4" t="s">
        <v>311</v>
      </c>
      <c r="X56" s="4" t="n">
        <v>14</v>
      </c>
      <c r="Y56" s="4" t="n">
        <v>7</v>
      </c>
      <c r="Z56" s="4" t="n">
        <v>17</v>
      </c>
      <c r="AA56" s="4" t="n">
        <v>7</v>
      </c>
      <c r="AB56" s="4" t="n">
        <v>80</v>
      </c>
      <c r="AC56" s="5" t="n">
        <v>99999</v>
      </c>
      <c r="AD56" s="3" t="s">
        <v>128</v>
      </c>
      <c r="AE56" s="6" t="n">
        <v>1177.1217125</v>
      </c>
      <c r="AF56" s="5" t="n">
        <v>121</v>
      </c>
      <c r="AG56" s="5" t="n">
        <v>1274</v>
      </c>
      <c r="AH56" s="3" t="s">
        <v>308</v>
      </c>
      <c r="AI56" s="6" t="n">
        <v>4.246720625</v>
      </c>
      <c r="AJ56" s="7"/>
      <c r="AK56" s="5" t="n">
        <v>99999</v>
      </c>
      <c r="AL56" s="4" t="n">
        <f aca="false">(IF(AC56=99999,0,AC56))+((IF(AF56=99999,0,AF56))/AE56)+AG56+(AJ56/AI56)+(IF(AK56=99999,0,AK56))</f>
        <v>1274.10279310858</v>
      </c>
      <c r="AM56" s="4" t="n">
        <f aca="false">AL56+AB56</f>
        <v>1354.10279310858</v>
      </c>
      <c r="AN56" s="8" t="s">
        <v>124</v>
      </c>
      <c r="AO56" s="8" t="s">
        <v>306</v>
      </c>
      <c r="AP56" s="24" t="e">
        <f aca="false">(IF((F56="Port to Port"),(IF(AND(AC56=99999,OR(AF56="",AF56=99999),AG56="",AJ56="",AK56=99999,#REF!="",#REF!="",#REF!="",#REF!="",#REF!="",#REF!="",AN56&lt;&gt;"",#REF!&lt;&gt;"",#REF!="",#REF!="",AO56&lt;&gt;"",#REF!&lt;&gt;"",#REF!="",#REF!="",#REF!="",#REF!=""),"No Bid",IF(AND(AC56=99999,OR(AF56&lt;&gt;"",AF56=99999),AG56&lt;&gt;"",AJ56&lt;&gt;"",AK56=99999,#REF!&lt;&gt;"",#REF!&lt;&gt;"",#REF!&lt;&gt;"",#REF!&lt;&gt;"",#REF!&lt;&gt;"",#REF!&lt;&gt;"",AN56&lt;&gt;"",#REF!&lt;&gt;"",#REF!="",#REF!="",AO56&lt;&gt;"",#REF!&lt;&gt;"",#REF!="",#REF!="",#REF!&lt;&gt;"",(IF((OR(#REF!="No Trans-Shipments",#REF!="")),(AND(#REF!="",#REF!="")),(IF(#REF!="1 Trans-Shipment",(AND(#REF!&lt;&gt;"",#REF!="")),(AND(#REF!&lt;&gt;"",#REF!&lt;&gt;"")))))),#REF!&lt;&gt;""),"Complete Bid","Incomplete Bid")))))</f>
        <v>#REF!</v>
      </c>
      <c r="AQ56" s="25" t="n">
        <f aca="false">(IF((F56="Door to Port"),(IF(AND(AC56="",AF56="",AG56="",AJ56="",AK56=99999,#REF!="",#REF!="",#REF!="",#REF!="",#REF!="",#REF!="",AN56="",#REF!="",#REF!="",#REF!="",AO56&lt;&gt;"",#REF!&lt;&gt;"",#REF!="",#REF!="",#REF!="",#REF!=""),"No Bid",IF(AND(AC56&lt;&gt;"",AF56&lt;&gt;"",AG56&lt;&gt;"",AJ56&lt;&gt;"",AK56=99999,#REF!&lt;&gt;"",#REF!&lt;&gt;"",#REF!&lt;&gt;"",#REF!&lt;&gt;"",#REF!&lt;&gt;"",#REF!&lt;&gt;"",AN56&lt;&gt;"",#REF!&lt;&gt;"",OR(#REF!="",#REF!&lt;&gt;""),#REF!&lt;&gt;"",AO56&lt;&gt;"",#REF!&lt;&gt;"",#REF!="",#REF!="",#REF!&lt;&gt;"",(IF((OR((#REF!="No Trans-Shipments"),(#REF!=""))),(AND(#REF!="",#REF!="")),(IF(#REF!="1 Trans-Shipment",(AND(#REF!&lt;&gt;"",#REF!="")),(AND(#REF!&lt;&gt;"",#REF!&lt;&gt;"")))))),#REF!&lt;&gt;""),"Complete Bid","Incomplete Bid")))))</f>
        <v>0</v>
      </c>
      <c r="AR56" s="25" t="n">
        <f aca="false">(IF((F56="Port to Door"),(IF(AND(AC56=99999,OR(AF56="",AF56=99999),AG56="",AJ56="",AK56="",#REF!="",#REF!="",#REF!="",#REF!="",#REF!="",#REF!="",AN56&lt;&gt;"",#REF!&lt;&gt;"",#REF!="",#REF!="",AO56="",#REF!="",#REF!="",#REF!="",#REF!="",#REF!=""),"No Bid",IF(AND(AC56=99999,OR(AF56&lt;&gt;"",AF56=99999),AG56&lt;&gt;"",AJ56&lt;&gt;"",AK56&lt;&gt;"",#REF!&lt;&gt;"",#REF!&lt;&gt;"",#REF!&lt;&gt;"",#REF!&lt;&gt;"",#REF!&lt;&gt;"",#REF!&lt;&gt;"",AN56&lt;&gt;"",#REF!&lt;&gt;"",#REF!="",#REF!="",AO56&lt;&gt;"",#REF!&lt;&gt;"",OR(#REF!&lt;&gt;"",#REF!=""),#REF!&lt;&gt;"",#REF!&lt;&gt;"",(IF((OR(#REF!="No Trans-Shipments",#REF!="")),(AND(#REF!="",#REF!="")),(IF(#REF!="1 Trans-Shipment",(AND(#REF!&lt;&gt;"",#REF!="")),(AND(#REF!&lt;&gt;"",#REF!&lt;&gt;"")))))),#REF!&lt;&gt;""),"Complete Bid","Incomplete Bid")))))</f>
        <v>0</v>
      </c>
      <c r="AS56" s="25" t="n">
        <f aca="false">(IF((F56="Door to Door"),(IF(AND(AC56="",AF56="",AG56="",AJ56="",AK56="",#REF!="",#REF!="",#REF!="",#REF!="",#REF!="",#REF!="",AN56="",#REF!="",#REF!="",#REF!="",AO56="",#REF!="",#REF!="",#REF!="",#REF!="",#REF!=""),"No Bid",IF(AND(AC56&lt;&gt;"",AF56&lt;&gt;"",AG56&lt;&gt;"",AJ56&lt;&gt;"",AK56&lt;&gt;"",#REF!&lt;&gt;"",#REF!&lt;&gt;"",#REF!&lt;&gt;"",#REF!&lt;&gt;"",#REF!&lt;&gt;"",#REF!&lt;&gt;"",AN56&lt;&gt;"",#REF!&lt;&gt;"",OR(#REF!&lt;&gt;"",#REF!=""),#REF!&lt;&gt;"",AO56&lt;&gt;"",#REF!&lt;&gt;"",OR(#REF!&lt;&gt;"",#REF!=""),#REF!&lt;&gt;"",#REF!&lt;&gt;"",(IF((OR(#REF!="No Trans-Shipments",#REF!="")),(AND(#REF!="",#REF!="")),(IF(#REF!="1 Trans-Shipment",(AND(#REF!&lt;&gt;"",#REF!="")),(AND(#REF!&lt;&gt;"",#REF!&lt;&gt;"")))))),#REF!&lt;&gt;""),"Complete Bid","Incomplete Bid")))))</f>
        <v>0</v>
      </c>
    </row>
    <row r="57" customFormat="false" ht="12.75" hidden="false" customHeight="true" outlineLevel="0" collapsed="false">
      <c r="A57" s="2" t="s">
        <v>56</v>
      </c>
      <c r="B57" s="23" t="s">
        <v>312</v>
      </c>
      <c r="C57" s="3" t="s">
        <v>58</v>
      </c>
      <c r="D57" s="3" t="s">
        <v>313</v>
      </c>
      <c r="E57" s="3" t="s">
        <v>120</v>
      </c>
      <c r="F57" s="3" t="s">
        <v>61</v>
      </c>
      <c r="G57" s="3" t="s">
        <v>178</v>
      </c>
      <c r="H57" s="3" t="s">
        <v>58</v>
      </c>
      <c r="I57" s="3" t="s">
        <v>123</v>
      </c>
      <c r="J57" s="3" t="s">
        <v>124</v>
      </c>
      <c r="K57" s="3" t="s">
        <v>58</v>
      </c>
      <c r="L57" s="3" t="s">
        <v>188</v>
      </c>
      <c r="M57" s="3" t="s">
        <v>314</v>
      </c>
      <c r="N57" s="3" t="s">
        <v>66</v>
      </c>
      <c r="O57" s="3"/>
      <c r="P57" s="3" t="s">
        <v>68</v>
      </c>
      <c r="Q57" s="3"/>
      <c r="R57" s="3" t="s">
        <v>126</v>
      </c>
      <c r="S57" s="3"/>
      <c r="T57" s="3" t="s">
        <v>190</v>
      </c>
      <c r="U57" s="3"/>
      <c r="V57" s="4" t="n">
        <v>10</v>
      </c>
      <c r="W57" s="4"/>
      <c r="X57" s="4" t="n">
        <v>14</v>
      </c>
      <c r="Y57" s="4" t="n">
        <v>7</v>
      </c>
      <c r="Z57" s="4" t="n">
        <v>10</v>
      </c>
      <c r="AA57" s="4" t="n">
        <v>4</v>
      </c>
      <c r="AB57" s="4" t="n">
        <v>40</v>
      </c>
      <c r="AC57" s="5" t="n">
        <v>99999</v>
      </c>
      <c r="AD57" s="3" t="s">
        <v>128</v>
      </c>
      <c r="AE57" s="6" t="n">
        <v>1177.1217125</v>
      </c>
      <c r="AF57" s="5" t="n">
        <v>122</v>
      </c>
      <c r="AG57" s="5" t="n">
        <v>1275</v>
      </c>
      <c r="AH57" s="3" t="s">
        <v>191</v>
      </c>
      <c r="AI57" s="6" t="n">
        <v>112.6968791667</v>
      </c>
      <c r="AJ57" s="7"/>
      <c r="AK57" s="5" t="n">
        <v>99999</v>
      </c>
      <c r="AL57" s="4" t="n">
        <f aca="false">(IF(AC57=99999,0,AC57))+((IF(AF57=99999,0,AF57))/AE57)+AG57+(AJ57/AI57)+(IF(AK57=99999,0,AK57))</f>
        <v>1275.1036426384</v>
      </c>
      <c r="AM57" s="4" t="n">
        <f aca="false">AL57+AB57</f>
        <v>1315.1036426384</v>
      </c>
      <c r="AN57" s="8" t="s">
        <v>124</v>
      </c>
      <c r="AO57" s="8" t="s">
        <v>314</v>
      </c>
      <c r="AP57" s="24" t="e">
        <f aca="false">(IF((F57="Port to Port"),(IF(AND(AC57=99999,OR(AF57="",AF57=99999),AG57="",AJ57="",AK57=99999,#REF!="",#REF!="",#REF!="",#REF!="",#REF!="",#REF!="",AN57&lt;&gt;"",#REF!&lt;&gt;"",#REF!="",#REF!="",AO57&lt;&gt;"",#REF!&lt;&gt;"",#REF!="",#REF!="",#REF!="",#REF!=""),"No Bid",IF(AND(AC57=99999,OR(AF57&lt;&gt;"",AF57=99999),AG57&lt;&gt;"",AJ57&lt;&gt;"",AK57=99999,#REF!&lt;&gt;"",#REF!&lt;&gt;"",#REF!&lt;&gt;"",#REF!&lt;&gt;"",#REF!&lt;&gt;"",#REF!&lt;&gt;"",AN57&lt;&gt;"",#REF!&lt;&gt;"",#REF!="",#REF!="",AO57&lt;&gt;"",#REF!&lt;&gt;"",#REF!="",#REF!="",#REF!&lt;&gt;"",(IF((OR(#REF!="No Trans-Shipments",#REF!="")),(AND(#REF!="",#REF!="")),(IF(#REF!="1 Trans-Shipment",(AND(#REF!&lt;&gt;"",#REF!="")),(AND(#REF!&lt;&gt;"",#REF!&lt;&gt;"")))))),#REF!&lt;&gt;""),"Complete Bid","Incomplete Bid")))))</f>
        <v>#REF!</v>
      </c>
      <c r="AQ57" s="25" t="n">
        <f aca="false">(IF((F57="Door to Port"),(IF(AND(AC57="",AF57="",AG57="",AJ57="",AK57=99999,#REF!="",#REF!="",#REF!="",#REF!="",#REF!="",#REF!="",AN57="",#REF!="",#REF!="",#REF!="",AO57&lt;&gt;"",#REF!&lt;&gt;"",#REF!="",#REF!="",#REF!="",#REF!=""),"No Bid",IF(AND(AC57&lt;&gt;"",AF57&lt;&gt;"",AG57&lt;&gt;"",AJ57&lt;&gt;"",AK57=99999,#REF!&lt;&gt;"",#REF!&lt;&gt;"",#REF!&lt;&gt;"",#REF!&lt;&gt;"",#REF!&lt;&gt;"",#REF!&lt;&gt;"",AN57&lt;&gt;"",#REF!&lt;&gt;"",OR(#REF!="",#REF!&lt;&gt;""),#REF!&lt;&gt;"",AO57&lt;&gt;"",#REF!&lt;&gt;"",#REF!="",#REF!="",#REF!&lt;&gt;"",(IF((OR((#REF!="No Trans-Shipments"),(#REF!=""))),(AND(#REF!="",#REF!="")),(IF(#REF!="1 Trans-Shipment",(AND(#REF!&lt;&gt;"",#REF!="")),(AND(#REF!&lt;&gt;"",#REF!&lt;&gt;"")))))),#REF!&lt;&gt;""),"Complete Bid","Incomplete Bid")))))</f>
        <v>0</v>
      </c>
      <c r="AR57" s="25" t="n">
        <f aca="false">(IF((F57="Port to Door"),(IF(AND(AC57=99999,OR(AF57="",AF57=99999),AG57="",AJ57="",AK57="",#REF!="",#REF!="",#REF!="",#REF!="",#REF!="",#REF!="",AN57&lt;&gt;"",#REF!&lt;&gt;"",#REF!="",#REF!="",AO57="",#REF!="",#REF!="",#REF!="",#REF!="",#REF!=""),"No Bid",IF(AND(AC57=99999,OR(AF57&lt;&gt;"",AF57=99999),AG57&lt;&gt;"",AJ57&lt;&gt;"",AK57&lt;&gt;"",#REF!&lt;&gt;"",#REF!&lt;&gt;"",#REF!&lt;&gt;"",#REF!&lt;&gt;"",#REF!&lt;&gt;"",#REF!&lt;&gt;"",AN57&lt;&gt;"",#REF!&lt;&gt;"",#REF!="",#REF!="",AO57&lt;&gt;"",#REF!&lt;&gt;"",OR(#REF!&lt;&gt;"",#REF!=""),#REF!&lt;&gt;"",#REF!&lt;&gt;"",(IF((OR(#REF!="No Trans-Shipments",#REF!="")),(AND(#REF!="",#REF!="")),(IF(#REF!="1 Trans-Shipment",(AND(#REF!&lt;&gt;"",#REF!="")),(AND(#REF!&lt;&gt;"",#REF!&lt;&gt;"")))))),#REF!&lt;&gt;""),"Complete Bid","Incomplete Bid")))))</f>
        <v>0</v>
      </c>
      <c r="AS57" s="25" t="n">
        <f aca="false">(IF((F57="Door to Door"),(IF(AND(AC57="",AF57="",AG57="",AJ57="",AK57="",#REF!="",#REF!="",#REF!="",#REF!="",#REF!="",#REF!="",AN57="",#REF!="",#REF!="",#REF!="",AO57="",#REF!="",#REF!="",#REF!="",#REF!="",#REF!=""),"No Bid",IF(AND(AC57&lt;&gt;"",AF57&lt;&gt;"",AG57&lt;&gt;"",AJ57&lt;&gt;"",AK57&lt;&gt;"",#REF!&lt;&gt;"",#REF!&lt;&gt;"",#REF!&lt;&gt;"",#REF!&lt;&gt;"",#REF!&lt;&gt;"",#REF!&lt;&gt;"",AN57&lt;&gt;"",#REF!&lt;&gt;"",OR(#REF!&lt;&gt;"",#REF!=""),#REF!&lt;&gt;"",AO57&lt;&gt;"",#REF!&lt;&gt;"",OR(#REF!&lt;&gt;"",#REF!=""),#REF!&lt;&gt;"",#REF!&lt;&gt;"",(IF((OR(#REF!="No Trans-Shipments",#REF!="")),(AND(#REF!="",#REF!="")),(IF(#REF!="1 Trans-Shipment",(AND(#REF!&lt;&gt;"",#REF!="")),(AND(#REF!&lt;&gt;"",#REF!&lt;&gt;"")))))),#REF!&lt;&gt;""),"Complete Bid","Incomplete Bid")))))</f>
        <v>0</v>
      </c>
    </row>
    <row r="58" customFormat="false" ht="12.75" hidden="false" customHeight="true" outlineLevel="0" collapsed="false">
      <c r="A58" s="2" t="s">
        <v>56</v>
      </c>
      <c r="B58" s="23" t="s">
        <v>315</v>
      </c>
      <c r="C58" s="3" t="s">
        <v>58</v>
      </c>
      <c r="D58" s="3" t="s">
        <v>316</v>
      </c>
      <c r="E58" s="3" t="s">
        <v>120</v>
      </c>
      <c r="F58" s="3" t="s">
        <v>61</v>
      </c>
      <c r="G58" s="3" t="s">
        <v>178</v>
      </c>
      <c r="H58" s="3" t="s">
        <v>58</v>
      </c>
      <c r="I58" s="3" t="s">
        <v>123</v>
      </c>
      <c r="J58" s="3" t="s">
        <v>124</v>
      </c>
      <c r="K58" s="3" t="s">
        <v>58</v>
      </c>
      <c r="L58" s="3" t="s">
        <v>188</v>
      </c>
      <c r="M58" s="3" t="s">
        <v>314</v>
      </c>
      <c r="N58" s="3" t="s">
        <v>80</v>
      </c>
      <c r="O58" s="3"/>
      <c r="P58" s="3" t="s">
        <v>68</v>
      </c>
      <c r="Q58" s="3"/>
      <c r="R58" s="3" t="s">
        <v>126</v>
      </c>
      <c r="S58" s="3"/>
      <c r="T58" s="3" t="s">
        <v>190</v>
      </c>
      <c r="U58" s="3"/>
      <c r="V58" s="4" t="n">
        <v>87</v>
      </c>
      <c r="W58" s="4" t="s">
        <v>317</v>
      </c>
      <c r="X58" s="4" t="n">
        <v>14</v>
      </c>
      <c r="Y58" s="4" t="n">
        <v>7</v>
      </c>
      <c r="Z58" s="4" t="n">
        <v>10</v>
      </c>
      <c r="AA58" s="4" t="n">
        <v>4</v>
      </c>
      <c r="AB58" s="4" t="n">
        <v>80</v>
      </c>
      <c r="AC58" s="5" t="n">
        <v>99999</v>
      </c>
      <c r="AD58" s="3" t="s">
        <v>128</v>
      </c>
      <c r="AE58" s="6" t="n">
        <v>1177.1217125</v>
      </c>
      <c r="AF58" s="5" t="n">
        <v>123</v>
      </c>
      <c r="AG58" s="5" t="n">
        <v>1276</v>
      </c>
      <c r="AH58" s="3" t="s">
        <v>191</v>
      </c>
      <c r="AI58" s="6" t="n">
        <v>112.6968791667</v>
      </c>
      <c r="AJ58" s="7"/>
      <c r="AK58" s="5" t="n">
        <v>99999</v>
      </c>
      <c r="AL58" s="4" t="n">
        <f aca="false">(IF(AC58=99999,0,AC58))+((IF(AF58=99999,0,AF58))/AE58)+AG58+(AJ58/AI58)+(IF(AK58=99999,0,AK58))</f>
        <v>1276.10449216822</v>
      </c>
      <c r="AM58" s="4" t="n">
        <f aca="false">AL58+AB58</f>
        <v>1356.10449216822</v>
      </c>
      <c r="AN58" s="8" t="s">
        <v>124</v>
      </c>
      <c r="AO58" s="8" t="s">
        <v>314</v>
      </c>
      <c r="AP58" s="24" t="e">
        <f aca="false">(IF((F58="Port to Port"),(IF(AND(AC58=99999,OR(AF58="",AF58=99999),AG58="",AJ58="",AK58=99999,#REF!="",#REF!="",#REF!="",#REF!="",#REF!="",#REF!="",AN58&lt;&gt;"",#REF!&lt;&gt;"",#REF!="",#REF!="",AO58&lt;&gt;"",#REF!&lt;&gt;"",#REF!="",#REF!="",#REF!="",#REF!=""),"No Bid",IF(AND(AC58=99999,OR(AF58&lt;&gt;"",AF58=99999),AG58&lt;&gt;"",AJ58&lt;&gt;"",AK58=99999,#REF!&lt;&gt;"",#REF!&lt;&gt;"",#REF!&lt;&gt;"",#REF!&lt;&gt;"",#REF!&lt;&gt;"",#REF!&lt;&gt;"",AN58&lt;&gt;"",#REF!&lt;&gt;"",#REF!="",#REF!="",AO58&lt;&gt;"",#REF!&lt;&gt;"",#REF!="",#REF!="",#REF!&lt;&gt;"",(IF((OR(#REF!="No Trans-Shipments",#REF!="")),(AND(#REF!="",#REF!="")),(IF(#REF!="1 Trans-Shipment",(AND(#REF!&lt;&gt;"",#REF!="")),(AND(#REF!&lt;&gt;"",#REF!&lt;&gt;"")))))),#REF!&lt;&gt;""),"Complete Bid","Incomplete Bid")))))</f>
        <v>#REF!</v>
      </c>
      <c r="AQ58" s="25" t="n">
        <f aca="false">(IF((F58="Door to Port"),(IF(AND(AC58="",AF58="",AG58="",AJ58="",AK58=99999,#REF!="",#REF!="",#REF!="",#REF!="",#REF!="",#REF!="",AN58="",#REF!="",#REF!="",#REF!="",AO58&lt;&gt;"",#REF!&lt;&gt;"",#REF!="",#REF!="",#REF!="",#REF!=""),"No Bid",IF(AND(AC58&lt;&gt;"",AF58&lt;&gt;"",AG58&lt;&gt;"",AJ58&lt;&gt;"",AK58=99999,#REF!&lt;&gt;"",#REF!&lt;&gt;"",#REF!&lt;&gt;"",#REF!&lt;&gt;"",#REF!&lt;&gt;"",#REF!&lt;&gt;"",AN58&lt;&gt;"",#REF!&lt;&gt;"",OR(#REF!="",#REF!&lt;&gt;""),#REF!&lt;&gt;"",AO58&lt;&gt;"",#REF!&lt;&gt;"",#REF!="",#REF!="",#REF!&lt;&gt;"",(IF((OR((#REF!="No Trans-Shipments"),(#REF!=""))),(AND(#REF!="",#REF!="")),(IF(#REF!="1 Trans-Shipment",(AND(#REF!&lt;&gt;"",#REF!="")),(AND(#REF!&lt;&gt;"",#REF!&lt;&gt;"")))))),#REF!&lt;&gt;""),"Complete Bid","Incomplete Bid")))))</f>
        <v>0</v>
      </c>
      <c r="AR58" s="25" t="n">
        <f aca="false">(IF((F58="Port to Door"),(IF(AND(AC58=99999,OR(AF58="",AF58=99999),AG58="",AJ58="",AK58="",#REF!="",#REF!="",#REF!="",#REF!="",#REF!="",#REF!="",AN58&lt;&gt;"",#REF!&lt;&gt;"",#REF!="",#REF!="",AO58="",#REF!="",#REF!="",#REF!="",#REF!="",#REF!=""),"No Bid",IF(AND(AC58=99999,OR(AF58&lt;&gt;"",AF58=99999),AG58&lt;&gt;"",AJ58&lt;&gt;"",AK58&lt;&gt;"",#REF!&lt;&gt;"",#REF!&lt;&gt;"",#REF!&lt;&gt;"",#REF!&lt;&gt;"",#REF!&lt;&gt;"",#REF!&lt;&gt;"",AN58&lt;&gt;"",#REF!&lt;&gt;"",#REF!="",#REF!="",AO58&lt;&gt;"",#REF!&lt;&gt;"",OR(#REF!&lt;&gt;"",#REF!=""),#REF!&lt;&gt;"",#REF!&lt;&gt;"",(IF((OR(#REF!="No Trans-Shipments",#REF!="")),(AND(#REF!="",#REF!="")),(IF(#REF!="1 Trans-Shipment",(AND(#REF!&lt;&gt;"",#REF!="")),(AND(#REF!&lt;&gt;"",#REF!&lt;&gt;"")))))),#REF!&lt;&gt;""),"Complete Bid","Incomplete Bid")))))</f>
        <v>0</v>
      </c>
      <c r="AS58" s="25" t="n">
        <f aca="false">(IF((F58="Door to Door"),(IF(AND(AC58="",AF58="",AG58="",AJ58="",AK58="",#REF!="",#REF!="",#REF!="",#REF!="",#REF!="",#REF!="",AN58="",#REF!="",#REF!="",#REF!="",AO58="",#REF!="",#REF!="",#REF!="",#REF!="",#REF!=""),"No Bid",IF(AND(AC58&lt;&gt;"",AF58&lt;&gt;"",AG58&lt;&gt;"",AJ58&lt;&gt;"",AK58&lt;&gt;"",#REF!&lt;&gt;"",#REF!&lt;&gt;"",#REF!&lt;&gt;"",#REF!&lt;&gt;"",#REF!&lt;&gt;"",#REF!&lt;&gt;"",AN58&lt;&gt;"",#REF!&lt;&gt;"",OR(#REF!&lt;&gt;"",#REF!=""),#REF!&lt;&gt;"",AO58&lt;&gt;"",#REF!&lt;&gt;"",OR(#REF!&lt;&gt;"",#REF!=""),#REF!&lt;&gt;"",#REF!&lt;&gt;"",(IF((OR(#REF!="No Trans-Shipments",#REF!="")),(AND(#REF!="",#REF!="")),(IF(#REF!="1 Trans-Shipment",(AND(#REF!&lt;&gt;"",#REF!="")),(AND(#REF!&lt;&gt;"",#REF!&lt;&gt;"")))))),#REF!&lt;&gt;""),"Complete Bid","Incomplete Bid")))))</f>
        <v>0</v>
      </c>
    </row>
    <row r="59" customFormat="false" ht="12.75" hidden="false" customHeight="true" outlineLevel="0" collapsed="false">
      <c r="A59" s="2" t="s">
        <v>56</v>
      </c>
      <c r="B59" s="23" t="s">
        <v>318</v>
      </c>
      <c r="C59" s="3" t="s">
        <v>58</v>
      </c>
      <c r="D59" s="3" t="s">
        <v>319</v>
      </c>
      <c r="E59" s="3" t="s">
        <v>120</v>
      </c>
      <c r="F59" s="3" t="s">
        <v>61</v>
      </c>
      <c r="G59" s="3" t="s">
        <v>146</v>
      </c>
      <c r="H59" s="3" t="s">
        <v>58</v>
      </c>
      <c r="I59" s="3" t="s">
        <v>123</v>
      </c>
      <c r="J59" s="3" t="s">
        <v>124</v>
      </c>
      <c r="K59" s="3" t="s">
        <v>58</v>
      </c>
      <c r="L59" s="3" t="s">
        <v>179</v>
      </c>
      <c r="M59" s="3" t="s">
        <v>320</v>
      </c>
      <c r="N59" s="3" t="s">
        <v>66</v>
      </c>
      <c r="O59" s="3"/>
      <c r="P59" s="3" t="s">
        <v>68</v>
      </c>
      <c r="Q59" s="3"/>
      <c r="R59" s="3" t="s">
        <v>126</v>
      </c>
      <c r="S59" s="3"/>
      <c r="T59" s="3" t="s">
        <v>321</v>
      </c>
      <c r="U59" s="3"/>
      <c r="V59" s="4" t="n">
        <v>2</v>
      </c>
      <c r="W59" s="4"/>
      <c r="X59" s="4" t="n">
        <v>14</v>
      </c>
      <c r="Y59" s="4" t="n">
        <v>7</v>
      </c>
      <c r="Z59" s="4" t="n">
        <v>14</v>
      </c>
      <c r="AA59" s="4" t="n">
        <v>7</v>
      </c>
      <c r="AB59" s="4" t="n">
        <v>40</v>
      </c>
      <c r="AC59" s="5" t="n">
        <v>99999</v>
      </c>
      <c r="AD59" s="3" t="s">
        <v>128</v>
      </c>
      <c r="AE59" s="6" t="n">
        <v>1177.1217125</v>
      </c>
      <c r="AF59" s="5" t="n">
        <v>124</v>
      </c>
      <c r="AG59" s="5" t="n">
        <v>1277</v>
      </c>
      <c r="AH59" s="3" t="s">
        <v>182</v>
      </c>
      <c r="AI59" s="6" t="n">
        <v>6.4657737917</v>
      </c>
      <c r="AJ59" s="7"/>
      <c r="AK59" s="5" t="n">
        <v>99999</v>
      </c>
      <c r="AL59" s="4" t="n">
        <f aca="false">(IF(AC59=99999,0,AC59))+((IF(AF59=99999,0,AF59))/AE59)+AG59+(AJ59/AI59)+(IF(AK59=99999,0,AK59))</f>
        <v>1277.10534169804</v>
      </c>
      <c r="AM59" s="4" t="n">
        <f aca="false">AL59+AB59</f>
        <v>1317.10534169804</v>
      </c>
      <c r="AN59" s="8" t="s">
        <v>124</v>
      </c>
      <c r="AO59" s="8" t="s">
        <v>320</v>
      </c>
      <c r="AP59" s="24" t="e">
        <f aca="false">(IF((F59="Port to Port"),(IF(AND(AC59=99999,OR(AF59="",AF59=99999),AG59="",AJ59="",AK59=99999,#REF!="",#REF!="",#REF!="",#REF!="",#REF!="",#REF!="",AN59&lt;&gt;"",#REF!&lt;&gt;"",#REF!="",#REF!="",AO59&lt;&gt;"",#REF!&lt;&gt;"",#REF!="",#REF!="",#REF!="",#REF!=""),"No Bid",IF(AND(AC59=99999,OR(AF59&lt;&gt;"",AF59=99999),AG59&lt;&gt;"",AJ59&lt;&gt;"",AK59=99999,#REF!&lt;&gt;"",#REF!&lt;&gt;"",#REF!&lt;&gt;"",#REF!&lt;&gt;"",#REF!&lt;&gt;"",#REF!&lt;&gt;"",AN59&lt;&gt;"",#REF!&lt;&gt;"",#REF!="",#REF!="",AO59&lt;&gt;"",#REF!&lt;&gt;"",#REF!="",#REF!="",#REF!&lt;&gt;"",(IF((OR(#REF!="No Trans-Shipments",#REF!="")),(AND(#REF!="",#REF!="")),(IF(#REF!="1 Trans-Shipment",(AND(#REF!&lt;&gt;"",#REF!="")),(AND(#REF!&lt;&gt;"",#REF!&lt;&gt;"")))))),#REF!&lt;&gt;""),"Complete Bid","Incomplete Bid")))))</f>
        <v>#REF!</v>
      </c>
      <c r="AQ59" s="25" t="n">
        <f aca="false">(IF((F59="Door to Port"),(IF(AND(AC59="",AF59="",AG59="",AJ59="",AK59=99999,#REF!="",#REF!="",#REF!="",#REF!="",#REF!="",#REF!="",AN59="",#REF!="",#REF!="",#REF!="",AO59&lt;&gt;"",#REF!&lt;&gt;"",#REF!="",#REF!="",#REF!="",#REF!=""),"No Bid",IF(AND(AC59&lt;&gt;"",AF59&lt;&gt;"",AG59&lt;&gt;"",AJ59&lt;&gt;"",AK59=99999,#REF!&lt;&gt;"",#REF!&lt;&gt;"",#REF!&lt;&gt;"",#REF!&lt;&gt;"",#REF!&lt;&gt;"",#REF!&lt;&gt;"",AN59&lt;&gt;"",#REF!&lt;&gt;"",OR(#REF!="",#REF!&lt;&gt;""),#REF!&lt;&gt;"",AO59&lt;&gt;"",#REF!&lt;&gt;"",#REF!="",#REF!="",#REF!&lt;&gt;"",(IF((OR((#REF!="No Trans-Shipments"),(#REF!=""))),(AND(#REF!="",#REF!="")),(IF(#REF!="1 Trans-Shipment",(AND(#REF!&lt;&gt;"",#REF!="")),(AND(#REF!&lt;&gt;"",#REF!&lt;&gt;"")))))),#REF!&lt;&gt;""),"Complete Bid","Incomplete Bid")))))</f>
        <v>0</v>
      </c>
      <c r="AR59" s="25" t="n">
        <f aca="false">(IF((F59="Port to Door"),(IF(AND(AC59=99999,OR(AF59="",AF59=99999),AG59="",AJ59="",AK59="",#REF!="",#REF!="",#REF!="",#REF!="",#REF!="",#REF!="",AN59&lt;&gt;"",#REF!&lt;&gt;"",#REF!="",#REF!="",AO59="",#REF!="",#REF!="",#REF!="",#REF!="",#REF!=""),"No Bid",IF(AND(AC59=99999,OR(AF59&lt;&gt;"",AF59=99999),AG59&lt;&gt;"",AJ59&lt;&gt;"",AK59&lt;&gt;"",#REF!&lt;&gt;"",#REF!&lt;&gt;"",#REF!&lt;&gt;"",#REF!&lt;&gt;"",#REF!&lt;&gt;"",#REF!&lt;&gt;"",AN59&lt;&gt;"",#REF!&lt;&gt;"",#REF!="",#REF!="",AO59&lt;&gt;"",#REF!&lt;&gt;"",OR(#REF!&lt;&gt;"",#REF!=""),#REF!&lt;&gt;"",#REF!&lt;&gt;"",(IF((OR(#REF!="No Trans-Shipments",#REF!="")),(AND(#REF!="",#REF!="")),(IF(#REF!="1 Trans-Shipment",(AND(#REF!&lt;&gt;"",#REF!="")),(AND(#REF!&lt;&gt;"",#REF!&lt;&gt;"")))))),#REF!&lt;&gt;""),"Complete Bid","Incomplete Bid")))))</f>
        <v>0</v>
      </c>
      <c r="AS59" s="25" t="n">
        <f aca="false">(IF((F59="Door to Door"),(IF(AND(AC59="",AF59="",AG59="",AJ59="",AK59="",#REF!="",#REF!="",#REF!="",#REF!="",#REF!="",#REF!="",AN59="",#REF!="",#REF!="",#REF!="",AO59="",#REF!="",#REF!="",#REF!="",#REF!="",#REF!=""),"No Bid",IF(AND(AC59&lt;&gt;"",AF59&lt;&gt;"",AG59&lt;&gt;"",AJ59&lt;&gt;"",AK59&lt;&gt;"",#REF!&lt;&gt;"",#REF!&lt;&gt;"",#REF!&lt;&gt;"",#REF!&lt;&gt;"",#REF!&lt;&gt;"",#REF!&lt;&gt;"",AN59&lt;&gt;"",#REF!&lt;&gt;"",OR(#REF!&lt;&gt;"",#REF!=""),#REF!&lt;&gt;"",AO59&lt;&gt;"",#REF!&lt;&gt;"",OR(#REF!&lt;&gt;"",#REF!=""),#REF!&lt;&gt;"",#REF!&lt;&gt;"",(IF((OR(#REF!="No Trans-Shipments",#REF!="")),(AND(#REF!="",#REF!="")),(IF(#REF!="1 Trans-Shipment",(AND(#REF!&lt;&gt;"",#REF!="")),(AND(#REF!&lt;&gt;"",#REF!&lt;&gt;"")))))),#REF!&lt;&gt;""),"Complete Bid","Incomplete Bid")))))</f>
        <v>0</v>
      </c>
    </row>
    <row r="60" customFormat="false" ht="12.75" hidden="false" customHeight="true" outlineLevel="0" collapsed="false">
      <c r="A60" s="2" t="s">
        <v>56</v>
      </c>
      <c r="B60" s="23" t="s">
        <v>322</v>
      </c>
      <c r="C60" s="3" t="s">
        <v>58</v>
      </c>
      <c r="D60" s="3" t="s">
        <v>323</v>
      </c>
      <c r="E60" s="3" t="s">
        <v>120</v>
      </c>
      <c r="F60" s="3" t="s">
        <v>61</v>
      </c>
      <c r="G60" s="3" t="s">
        <v>146</v>
      </c>
      <c r="H60" s="3" t="s">
        <v>58</v>
      </c>
      <c r="I60" s="3" t="s">
        <v>123</v>
      </c>
      <c r="J60" s="3" t="s">
        <v>124</v>
      </c>
      <c r="K60" s="3" t="s">
        <v>58</v>
      </c>
      <c r="L60" s="3" t="s">
        <v>179</v>
      </c>
      <c r="M60" s="3" t="s">
        <v>320</v>
      </c>
      <c r="N60" s="3" t="s">
        <v>80</v>
      </c>
      <c r="O60" s="3"/>
      <c r="P60" s="3" t="s">
        <v>68</v>
      </c>
      <c r="Q60" s="3"/>
      <c r="R60" s="3" t="s">
        <v>126</v>
      </c>
      <c r="S60" s="3"/>
      <c r="T60" s="3" t="s">
        <v>321</v>
      </c>
      <c r="U60" s="3"/>
      <c r="V60" s="4" t="n">
        <v>54</v>
      </c>
      <c r="W60" s="4" t="s">
        <v>324</v>
      </c>
      <c r="X60" s="4" t="n">
        <v>14</v>
      </c>
      <c r="Y60" s="4" t="n">
        <v>7</v>
      </c>
      <c r="Z60" s="4" t="n">
        <v>14</v>
      </c>
      <c r="AA60" s="4" t="n">
        <v>7</v>
      </c>
      <c r="AB60" s="4" t="n">
        <v>80</v>
      </c>
      <c r="AC60" s="5" t="n">
        <v>99999</v>
      </c>
      <c r="AD60" s="3" t="s">
        <v>128</v>
      </c>
      <c r="AE60" s="6" t="n">
        <v>1177.1217125</v>
      </c>
      <c r="AF60" s="5" t="n">
        <v>125</v>
      </c>
      <c r="AG60" s="5" t="n">
        <v>1278</v>
      </c>
      <c r="AH60" s="3" t="s">
        <v>182</v>
      </c>
      <c r="AI60" s="6" t="n">
        <v>6.4657737917</v>
      </c>
      <c r="AJ60" s="7"/>
      <c r="AK60" s="5" t="n">
        <v>99999</v>
      </c>
      <c r="AL60" s="4" t="n">
        <f aca="false">(IF(AC60=99999,0,AC60))+((IF(AF60=99999,0,AF60))/AE60)+AG60+(AJ60/AI60)+(IF(AK60=99999,0,AK60))</f>
        <v>1278.10619122787</v>
      </c>
      <c r="AM60" s="4" t="n">
        <f aca="false">AL60+AB60</f>
        <v>1358.10619122787</v>
      </c>
      <c r="AN60" s="8" t="s">
        <v>124</v>
      </c>
      <c r="AO60" s="8" t="s">
        <v>320</v>
      </c>
      <c r="AP60" s="24" t="e">
        <f aca="false">(IF((F60="Port to Port"),(IF(AND(AC60=99999,OR(AF60="",AF60=99999),AG60="",AJ60="",AK60=99999,#REF!="",#REF!="",#REF!="",#REF!="",#REF!="",#REF!="",AN60&lt;&gt;"",#REF!&lt;&gt;"",#REF!="",#REF!="",AO60&lt;&gt;"",#REF!&lt;&gt;"",#REF!="",#REF!="",#REF!="",#REF!=""),"No Bid",IF(AND(AC60=99999,OR(AF60&lt;&gt;"",AF60=99999),AG60&lt;&gt;"",AJ60&lt;&gt;"",AK60=99999,#REF!&lt;&gt;"",#REF!&lt;&gt;"",#REF!&lt;&gt;"",#REF!&lt;&gt;"",#REF!&lt;&gt;"",#REF!&lt;&gt;"",AN60&lt;&gt;"",#REF!&lt;&gt;"",#REF!="",#REF!="",AO60&lt;&gt;"",#REF!&lt;&gt;"",#REF!="",#REF!="",#REF!&lt;&gt;"",(IF((OR(#REF!="No Trans-Shipments",#REF!="")),(AND(#REF!="",#REF!="")),(IF(#REF!="1 Trans-Shipment",(AND(#REF!&lt;&gt;"",#REF!="")),(AND(#REF!&lt;&gt;"",#REF!&lt;&gt;"")))))),#REF!&lt;&gt;""),"Complete Bid","Incomplete Bid")))))</f>
        <v>#REF!</v>
      </c>
      <c r="AQ60" s="25" t="n">
        <f aca="false">(IF((F60="Door to Port"),(IF(AND(AC60="",AF60="",AG60="",AJ60="",AK60=99999,#REF!="",#REF!="",#REF!="",#REF!="",#REF!="",#REF!="",AN60="",#REF!="",#REF!="",#REF!="",AO60&lt;&gt;"",#REF!&lt;&gt;"",#REF!="",#REF!="",#REF!="",#REF!=""),"No Bid",IF(AND(AC60&lt;&gt;"",AF60&lt;&gt;"",AG60&lt;&gt;"",AJ60&lt;&gt;"",AK60=99999,#REF!&lt;&gt;"",#REF!&lt;&gt;"",#REF!&lt;&gt;"",#REF!&lt;&gt;"",#REF!&lt;&gt;"",#REF!&lt;&gt;"",AN60&lt;&gt;"",#REF!&lt;&gt;"",OR(#REF!="",#REF!&lt;&gt;""),#REF!&lt;&gt;"",AO60&lt;&gt;"",#REF!&lt;&gt;"",#REF!="",#REF!="",#REF!&lt;&gt;"",(IF((OR((#REF!="No Trans-Shipments"),(#REF!=""))),(AND(#REF!="",#REF!="")),(IF(#REF!="1 Trans-Shipment",(AND(#REF!&lt;&gt;"",#REF!="")),(AND(#REF!&lt;&gt;"",#REF!&lt;&gt;"")))))),#REF!&lt;&gt;""),"Complete Bid","Incomplete Bid")))))</f>
        <v>0</v>
      </c>
      <c r="AR60" s="25" t="n">
        <f aca="false">(IF((F60="Port to Door"),(IF(AND(AC60=99999,OR(AF60="",AF60=99999),AG60="",AJ60="",AK60="",#REF!="",#REF!="",#REF!="",#REF!="",#REF!="",#REF!="",AN60&lt;&gt;"",#REF!&lt;&gt;"",#REF!="",#REF!="",AO60="",#REF!="",#REF!="",#REF!="",#REF!="",#REF!=""),"No Bid",IF(AND(AC60=99999,OR(AF60&lt;&gt;"",AF60=99999),AG60&lt;&gt;"",AJ60&lt;&gt;"",AK60&lt;&gt;"",#REF!&lt;&gt;"",#REF!&lt;&gt;"",#REF!&lt;&gt;"",#REF!&lt;&gt;"",#REF!&lt;&gt;"",#REF!&lt;&gt;"",AN60&lt;&gt;"",#REF!&lt;&gt;"",#REF!="",#REF!="",AO60&lt;&gt;"",#REF!&lt;&gt;"",OR(#REF!&lt;&gt;"",#REF!=""),#REF!&lt;&gt;"",#REF!&lt;&gt;"",(IF((OR(#REF!="No Trans-Shipments",#REF!="")),(AND(#REF!="",#REF!="")),(IF(#REF!="1 Trans-Shipment",(AND(#REF!&lt;&gt;"",#REF!="")),(AND(#REF!&lt;&gt;"",#REF!&lt;&gt;"")))))),#REF!&lt;&gt;""),"Complete Bid","Incomplete Bid")))))</f>
        <v>0</v>
      </c>
      <c r="AS60" s="25" t="n">
        <f aca="false">(IF((F60="Door to Door"),(IF(AND(AC60="",AF60="",AG60="",AJ60="",AK60="",#REF!="",#REF!="",#REF!="",#REF!="",#REF!="",#REF!="",AN60="",#REF!="",#REF!="",#REF!="",AO60="",#REF!="",#REF!="",#REF!="",#REF!="",#REF!=""),"No Bid",IF(AND(AC60&lt;&gt;"",AF60&lt;&gt;"",AG60&lt;&gt;"",AJ60&lt;&gt;"",AK60&lt;&gt;"",#REF!&lt;&gt;"",#REF!&lt;&gt;"",#REF!&lt;&gt;"",#REF!&lt;&gt;"",#REF!&lt;&gt;"",#REF!&lt;&gt;"",AN60&lt;&gt;"",#REF!&lt;&gt;"",OR(#REF!&lt;&gt;"",#REF!=""),#REF!&lt;&gt;"",AO60&lt;&gt;"",#REF!&lt;&gt;"",OR(#REF!&lt;&gt;"",#REF!=""),#REF!&lt;&gt;"",#REF!&lt;&gt;"",(IF((OR(#REF!="No Trans-Shipments",#REF!="")),(AND(#REF!="",#REF!="")),(IF(#REF!="1 Trans-Shipment",(AND(#REF!&lt;&gt;"",#REF!="")),(AND(#REF!&lt;&gt;"",#REF!&lt;&gt;"")))))),#REF!&lt;&gt;""),"Complete Bid","Incomplete Bid")))))</f>
        <v>0</v>
      </c>
    </row>
    <row r="61" customFormat="false" ht="12.75" hidden="false" customHeight="true" outlineLevel="0" collapsed="false">
      <c r="A61" s="2" t="s">
        <v>56</v>
      </c>
      <c r="B61" s="23" t="s">
        <v>325</v>
      </c>
      <c r="C61" s="3" t="s">
        <v>58</v>
      </c>
      <c r="D61" s="3" t="s">
        <v>326</v>
      </c>
      <c r="E61" s="3" t="s">
        <v>120</v>
      </c>
      <c r="F61" s="3" t="s">
        <v>61</v>
      </c>
      <c r="G61" s="3" t="s">
        <v>178</v>
      </c>
      <c r="H61" s="3" t="s">
        <v>58</v>
      </c>
      <c r="I61" s="3" t="s">
        <v>123</v>
      </c>
      <c r="J61" s="3" t="s">
        <v>124</v>
      </c>
      <c r="K61" s="3" t="s">
        <v>58</v>
      </c>
      <c r="L61" s="3" t="s">
        <v>188</v>
      </c>
      <c r="M61" s="3" t="s">
        <v>327</v>
      </c>
      <c r="N61" s="3" t="s">
        <v>66</v>
      </c>
      <c r="O61" s="3"/>
      <c r="P61" s="3" t="s">
        <v>68</v>
      </c>
      <c r="Q61" s="3"/>
      <c r="R61" s="3" t="s">
        <v>126</v>
      </c>
      <c r="S61" s="3"/>
      <c r="T61" s="3" t="s">
        <v>190</v>
      </c>
      <c r="U61" s="3"/>
      <c r="V61" s="4" t="n">
        <v>6</v>
      </c>
      <c r="W61" s="4"/>
      <c r="X61" s="4" t="n">
        <v>14</v>
      </c>
      <c r="Y61" s="4" t="n">
        <v>7</v>
      </c>
      <c r="Z61" s="4" t="n">
        <v>10</v>
      </c>
      <c r="AA61" s="4" t="n">
        <v>4</v>
      </c>
      <c r="AB61" s="4" t="n">
        <v>40</v>
      </c>
      <c r="AC61" s="5" t="n">
        <v>99999</v>
      </c>
      <c r="AD61" s="3" t="s">
        <v>128</v>
      </c>
      <c r="AE61" s="6" t="n">
        <v>1177.1217125</v>
      </c>
      <c r="AF61" s="5" t="n">
        <v>126</v>
      </c>
      <c r="AG61" s="5" t="n">
        <v>1279</v>
      </c>
      <c r="AH61" s="3" t="s">
        <v>191</v>
      </c>
      <c r="AI61" s="6" t="n">
        <v>112.6968791667</v>
      </c>
      <c r="AJ61" s="7"/>
      <c r="AK61" s="5" t="n">
        <v>99999</v>
      </c>
      <c r="AL61" s="4" t="n">
        <f aca="false">(IF(AC61=99999,0,AC61))+((IF(AF61=99999,0,AF61))/AE61)+AG61+(AJ61/AI61)+(IF(AK61=99999,0,AK61))</f>
        <v>1279.10704075769</v>
      </c>
      <c r="AM61" s="4" t="n">
        <f aca="false">AL61+AB61</f>
        <v>1319.10704075769</v>
      </c>
      <c r="AN61" s="8" t="s">
        <v>124</v>
      </c>
      <c r="AO61" s="8" t="s">
        <v>327</v>
      </c>
      <c r="AP61" s="24" t="e">
        <f aca="false">(IF((F61="Port to Port"),(IF(AND(AC61=99999,OR(AF61="",AF61=99999),AG61="",AJ61="",AK61=99999,#REF!="",#REF!="",#REF!="",#REF!="",#REF!="",#REF!="",AN61&lt;&gt;"",#REF!&lt;&gt;"",#REF!="",#REF!="",AO61&lt;&gt;"",#REF!&lt;&gt;"",#REF!="",#REF!="",#REF!="",#REF!=""),"No Bid",IF(AND(AC61=99999,OR(AF61&lt;&gt;"",AF61=99999),AG61&lt;&gt;"",AJ61&lt;&gt;"",AK61=99999,#REF!&lt;&gt;"",#REF!&lt;&gt;"",#REF!&lt;&gt;"",#REF!&lt;&gt;"",#REF!&lt;&gt;"",#REF!&lt;&gt;"",AN61&lt;&gt;"",#REF!&lt;&gt;"",#REF!="",#REF!="",AO61&lt;&gt;"",#REF!&lt;&gt;"",#REF!="",#REF!="",#REF!&lt;&gt;"",(IF((OR(#REF!="No Trans-Shipments",#REF!="")),(AND(#REF!="",#REF!="")),(IF(#REF!="1 Trans-Shipment",(AND(#REF!&lt;&gt;"",#REF!="")),(AND(#REF!&lt;&gt;"",#REF!&lt;&gt;"")))))),#REF!&lt;&gt;""),"Complete Bid","Incomplete Bid")))))</f>
        <v>#REF!</v>
      </c>
      <c r="AQ61" s="25" t="n">
        <f aca="false">(IF((F61="Door to Port"),(IF(AND(AC61="",AF61="",AG61="",AJ61="",AK61=99999,#REF!="",#REF!="",#REF!="",#REF!="",#REF!="",#REF!="",AN61="",#REF!="",#REF!="",#REF!="",AO61&lt;&gt;"",#REF!&lt;&gt;"",#REF!="",#REF!="",#REF!="",#REF!=""),"No Bid",IF(AND(AC61&lt;&gt;"",AF61&lt;&gt;"",AG61&lt;&gt;"",AJ61&lt;&gt;"",AK61=99999,#REF!&lt;&gt;"",#REF!&lt;&gt;"",#REF!&lt;&gt;"",#REF!&lt;&gt;"",#REF!&lt;&gt;"",#REF!&lt;&gt;"",AN61&lt;&gt;"",#REF!&lt;&gt;"",OR(#REF!="",#REF!&lt;&gt;""),#REF!&lt;&gt;"",AO61&lt;&gt;"",#REF!&lt;&gt;"",#REF!="",#REF!="",#REF!&lt;&gt;"",(IF((OR((#REF!="No Trans-Shipments"),(#REF!=""))),(AND(#REF!="",#REF!="")),(IF(#REF!="1 Trans-Shipment",(AND(#REF!&lt;&gt;"",#REF!="")),(AND(#REF!&lt;&gt;"",#REF!&lt;&gt;"")))))),#REF!&lt;&gt;""),"Complete Bid","Incomplete Bid")))))</f>
        <v>0</v>
      </c>
      <c r="AR61" s="25" t="n">
        <f aca="false">(IF((F61="Port to Door"),(IF(AND(AC61=99999,OR(AF61="",AF61=99999),AG61="",AJ61="",AK61="",#REF!="",#REF!="",#REF!="",#REF!="",#REF!="",#REF!="",AN61&lt;&gt;"",#REF!&lt;&gt;"",#REF!="",#REF!="",AO61="",#REF!="",#REF!="",#REF!="",#REF!="",#REF!=""),"No Bid",IF(AND(AC61=99999,OR(AF61&lt;&gt;"",AF61=99999),AG61&lt;&gt;"",AJ61&lt;&gt;"",AK61&lt;&gt;"",#REF!&lt;&gt;"",#REF!&lt;&gt;"",#REF!&lt;&gt;"",#REF!&lt;&gt;"",#REF!&lt;&gt;"",#REF!&lt;&gt;"",AN61&lt;&gt;"",#REF!&lt;&gt;"",#REF!="",#REF!="",AO61&lt;&gt;"",#REF!&lt;&gt;"",OR(#REF!&lt;&gt;"",#REF!=""),#REF!&lt;&gt;"",#REF!&lt;&gt;"",(IF((OR(#REF!="No Trans-Shipments",#REF!="")),(AND(#REF!="",#REF!="")),(IF(#REF!="1 Trans-Shipment",(AND(#REF!&lt;&gt;"",#REF!="")),(AND(#REF!&lt;&gt;"",#REF!&lt;&gt;"")))))),#REF!&lt;&gt;""),"Complete Bid","Incomplete Bid")))))</f>
        <v>0</v>
      </c>
      <c r="AS61" s="25" t="n">
        <f aca="false">(IF((F61="Door to Door"),(IF(AND(AC61="",AF61="",AG61="",AJ61="",AK61="",#REF!="",#REF!="",#REF!="",#REF!="",#REF!="",#REF!="",AN61="",#REF!="",#REF!="",#REF!="",AO61="",#REF!="",#REF!="",#REF!="",#REF!="",#REF!=""),"No Bid",IF(AND(AC61&lt;&gt;"",AF61&lt;&gt;"",AG61&lt;&gt;"",AJ61&lt;&gt;"",AK61&lt;&gt;"",#REF!&lt;&gt;"",#REF!&lt;&gt;"",#REF!&lt;&gt;"",#REF!&lt;&gt;"",#REF!&lt;&gt;"",#REF!&lt;&gt;"",AN61&lt;&gt;"",#REF!&lt;&gt;"",OR(#REF!&lt;&gt;"",#REF!=""),#REF!&lt;&gt;"",AO61&lt;&gt;"",#REF!&lt;&gt;"",OR(#REF!&lt;&gt;"",#REF!=""),#REF!&lt;&gt;"",#REF!&lt;&gt;"",(IF((OR(#REF!="No Trans-Shipments",#REF!="")),(AND(#REF!="",#REF!="")),(IF(#REF!="1 Trans-Shipment",(AND(#REF!&lt;&gt;"",#REF!="")),(AND(#REF!&lt;&gt;"",#REF!&lt;&gt;"")))))),#REF!&lt;&gt;""),"Complete Bid","Incomplete Bid")))))</f>
        <v>0</v>
      </c>
    </row>
    <row r="62" customFormat="false" ht="12.75" hidden="false" customHeight="true" outlineLevel="0" collapsed="false">
      <c r="A62" s="2" t="s">
        <v>56</v>
      </c>
      <c r="B62" s="23" t="s">
        <v>328</v>
      </c>
      <c r="C62" s="3" t="s">
        <v>58</v>
      </c>
      <c r="D62" s="3" t="s">
        <v>329</v>
      </c>
      <c r="E62" s="3" t="s">
        <v>120</v>
      </c>
      <c r="F62" s="3" t="s">
        <v>61</v>
      </c>
      <c r="G62" s="3" t="s">
        <v>178</v>
      </c>
      <c r="H62" s="3" t="s">
        <v>58</v>
      </c>
      <c r="I62" s="3" t="s">
        <v>123</v>
      </c>
      <c r="J62" s="3" t="s">
        <v>124</v>
      </c>
      <c r="K62" s="3" t="s">
        <v>58</v>
      </c>
      <c r="L62" s="3" t="s">
        <v>188</v>
      </c>
      <c r="M62" s="3" t="s">
        <v>327</v>
      </c>
      <c r="N62" s="3" t="s">
        <v>80</v>
      </c>
      <c r="O62" s="3"/>
      <c r="P62" s="3" t="s">
        <v>68</v>
      </c>
      <c r="Q62" s="3"/>
      <c r="R62" s="3" t="s">
        <v>126</v>
      </c>
      <c r="S62" s="3"/>
      <c r="T62" s="3" t="s">
        <v>190</v>
      </c>
      <c r="U62" s="3"/>
      <c r="V62" s="4" t="n">
        <v>142</v>
      </c>
      <c r="W62" s="4" t="s">
        <v>330</v>
      </c>
      <c r="X62" s="4" t="n">
        <v>14</v>
      </c>
      <c r="Y62" s="4" t="n">
        <v>7</v>
      </c>
      <c r="Z62" s="4" t="n">
        <v>10</v>
      </c>
      <c r="AA62" s="4" t="n">
        <v>4</v>
      </c>
      <c r="AB62" s="4" t="n">
        <v>80</v>
      </c>
      <c r="AC62" s="5" t="n">
        <v>99999</v>
      </c>
      <c r="AD62" s="3" t="s">
        <v>128</v>
      </c>
      <c r="AE62" s="6" t="n">
        <v>1177.1217125</v>
      </c>
      <c r="AF62" s="5" t="n">
        <v>127</v>
      </c>
      <c r="AG62" s="5" t="n">
        <v>1280</v>
      </c>
      <c r="AH62" s="3" t="s">
        <v>191</v>
      </c>
      <c r="AI62" s="6" t="n">
        <v>112.6968791667</v>
      </c>
      <c r="AJ62" s="7"/>
      <c r="AK62" s="5" t="n">
        <v>99999</v>
      </c>
      <c r="AL62" s="4" t="n">
        <f aca="false">(IF(AC62=99999,0,AC62))+((IF(AF62=99999,0,AF62))/AE62)+AG62+(AJ62/AI62)+(IF(AK62=99999,0,AK62))</f>
        <v>1280.10789028751</v>
      </c>
      <c r="AM62" s="4" t="n">
        <f aca="false">AL62+AB62</f>
        <v>1360.10789028751</v>
      </c>
      <c r="AN62" s="8" t="s">
        <v>124</v>
      </c>
      <c r="AO62" s="8" t="s">
        <v>327</v>
      </c>
      <c r="AP62" s="24" t="e">
        <f aca="false">(IF((F62="Port to Port"),(IF(AND(AC62=99999,OR(AF62="",AF62=99999),AG62="",AJ62="",AK62=99999,#REF!="",#REF!="",#REF!="",#REF!="",#REF!="",#REF!="",AN62&lt;&gt;"",#REF!&lt;&gt;"",#REF!="",#REF!="",AO62&lt;&gt;"",#REF!&lt;&gt;"",#REF!="",#REF!="",#REF!="",#REF!=""),"No Bid",IF(AND(AC62=99999,OR(AF62&lt;&gt;"",AF62=99999),AG62&lt;&gt;"",AJ62&lt;&gt;"",AK62=99999,#REF!&lt;&gt;"",#REF!&lt;&gt;"",#REF!&lt;&gt;"",#REF!&lt;&gt;"",#REF!&lt;&gt;"",#REF!&lt;&gt;"",AN62&lt;&gt;"",#REF!&lt;&gt;"",#REF!="",#REF!="",AO62&lt;&gt;"",#REF!&lt;&gt;"",#REF!="",#REF!="",#REF!&lt;&gt;"",(IF((OR(#REF!="No Trans-Shipments",#REF!="")),(AND(#REF!="",#REF!="")),(IF(#REF!="1 Trans-Shipment",(AND(#REF!&lt;&gt;"",#REF!="")),(AND(#REF!&lt;&gt;"",#REF!&lt;&gt;"")))))),#REF!&lt;&gt;""),"Complete Bid","Incomplete Bid")))))</f>
        <v>#REF!</v>
      </c>
      <c r="AQ62" s="25" t="n">
        <f aca="false">(IF((F62="Door to Port"),(IF(AND(AC62="",AF62="",AG62="",AJ62="",AK62=99999,#REF!="",#REF!="",#REF!="",#REF!="",#REF!="",#REF!="",AN62="",#REF!="",#REF!="",#REF!="",AO62&lt;&gt;"",#REF!&lt;&gt;"",#REF!="",#REF!="",#REF!="",#REF!=""),"No Bid",IF(AND(AC62&lt;&gt;"",AF62&lt;&gt;"",AG62&lt;&gt;"",AJ62&lt;&gt;"",AK62=99999,#REF!&lt;&gt;"",#REF!&lt;&gt;"",#REF!&lt;&gt;"",#REF!&lt;&gt;"",#REF!&lt;&gt;"",#REF!&lt;&gt;"",AN62&lt;&gt;"",#REF!&lt;&gt;"",OR(#REF!="",#REF!&lt;&gt;""),#REF!&lt;&gt;"",AO62&lt;&gt;"",#REF!&lt;&gt;"",#REF!="",#REF!="",#REF!&lt;&gt;"",(IF((OR((#REF!="No Trans-Shipments"),(#REF!=""))),(AND(#REF!="",#REF!="")),(IF(#REF!="1 Trans-Shipment",(AND(#REF!&lt;&gt;"",#REF!="")),(AND(#REF!&lt;&gt;"",#REF!&lt;&gt;"")))))),#REF!&lt;&gt;""),"Complete Bid","Incomplete Bid")))))</f>
        <v>0</v>
      </c>
      <c r="AR62" s="25" t="n">
        <f aca="false">(IF((F62="Port to Door"),(IF(AND(AC62=99999,OR(AF62="",AF62=99999),AG62="",AJ62="",AK62="",#REF!="",#REF!="",#REF!="",#REF!="",#REF!="",#REF!="",AN62&lt;&gt;"",#REF!&lt;&gt;"",#REF!="",#REF!="",AO62="",#REF!="",#REF!="",#REF!="",#REF!="",#REF!=""),"No Bid",IF(AND(AC62=99999,OR(AF62&lt;&gt;"",AF62=99999),AG62&lt;&gt;"",AJ62&lt;&gt;"",AK62&lt;&gt;"",#REF!&lt;&gt;"",#REF!&lt;&gt;"",#REF!&lt;&gt;"",#REF!&lt;&gt;"",#REF!&lt;&gt;"",#REF!&lt;&gt;"",AN62&lt;&gt;"",#REF!&lt;&gt;"",#REF!="",#REF!="",AO62&lt;&gt;"",#REF!&lt;&gt;"",OR(#REF!&lt;&gt;"",#REF!=""),#REF!&lt;&gt;"",#REF!&lt;&gt;"",(IF((OR(#REF!="No Trans-Shipments",#REF!="")),(AND(#REF!="",#REF!="")),(IF(#REF!="1 Trans-Shipment",(AND(#REF!&lt;&gt;"",#REF!="")),(AND(#REF!&lt;&gt;"",#REF!&lt;&gt;"")))))),#REF!&lt;&gt;""),"Complete Bid","Incomplete Bid")))))</f>
        <v>0</v>
      </c>
      <c r="AS62" s="25" t="n">
        <f aca="false">(IF((F62="Door to Door"),(IF(AND(AC62="",AF62="",AG62="",AJ62="",AK62="",#REF!="",#REF!="",#REF!="",#REF!="",#REF!="",#REF!="",AN62="",#REF!="",#REF!="",#REF!="",AO62="",#REF!="",#REF!="",#REF!="",#REF!="",#REF!=""),"No Bid",IF(AND(AC62&lt;&gt;"",AF62&lt;&gt;"",AG62&lt;&gt;"",AJ62&lt;&gt;"",AK62&lt;&gt;"",#REF!&lt;&gt;"",#REF!&lt;&gt;"",#REF!&lt;&gt;"",#REF!&lt;&gt;"",#REF!&lt;&gt;"",#REF!&lt;&gt;"",AN62&lt;&gt;"",#REF!&lt;&gt;"",OR(#REF!&lt;&gt;"",#REF!=""),#REF!&lt;&gt;"",AO62&lt;&gt;"",#REF!&lt;&gt;"",OR(#REF!&lt;&gt;"",#REF!=""),#REF!&lt;&gt;"",#REF!&lt;&gt;"",(IF((OR(#REF!="No Trans-Shipments",#REF!="")),(AND(#REF!="",#REF!="")),(IF(#REF!="1 Trans-Shipment",(AND(#REF!&lt;&gt;"",#REF!="")),(AND(#REF!&lt;&gt;"",#REF!&lt;&gt;"")))))),#REF!&lt;&gt;""),"Complete Bid","Incomplete Bid")))))</f>
        <v>0</v>
      </c>
    </row>
    <row r="63" customFormat="false" ht="12.75" hidden="false" customHeight="true" outlineLevel="0" collapsed="false">
      <c r="A63" s="2" t="s">
        <v>56</v>
      </c>
      <c r="B63" s="23" t="s">
        <v>331</v>
      </c>
      <c r="C63" s="3" t="s">
        <v>58</v>
      </c>
      <c r="D63" s="3" t="s">
        <v>332</v>
      </c>
      <c r="E63" s="3" t="s">
        <v>333</v>
      </c>
      <c r="F63" s="3" t="s">
        <v>61</v>
      </c>
      <c r="G63" s="3" t="s">
        <v>62</v>
      </c>
      <c r="H63" s="3" t="s">
        <v>58</v>
      </c>
      <c r="I63" s="3" t="s">
        <v>134</v>
      </c>
      <c r="J63" s="3" t="s">
        <v>334</v>
      </c>
      <c r="K63" s="3" t="s">
        <v>58</v>
      </c>
      <c r="L63" s="3" t="s">
        <v>65</v>
      </c>
      <c r="M63" s="3" t="s">
        <v>65</v>
      </c>
      <c r="N63" s="3" t="s">
        <v>66</v>
      </c>
      <c r="O63" s="3" t="s">
        <v>67</v>
      </c>
      <c r="P63" s="3" t="s">
        <v>68</v>
      </c>
      <c r="Q63" s="3"/>
      <c r="R63" s="3" t="s">
        <v>136</v>
      </c>
      <c r="S63" s="3"/>
      <c r="T63" s="3" t="s">
        <v>70</v>
      </c>
      <c r="U63" s="3"/>
      <c r="V63" s="4" t="n">
        <v>10</v>
      </c>
      <c r="W63" s="4"/>
      <c r="X63" s="4" t="n">
        <v>14</v>
      </c>
      <c r="Y63" s="4" t="n">
        <v>14</v>
      </c>
      <c r="Z63" s="4" t="n">
        <v>14</v>
      </c>
      <c r="AA63" s="4" t="n">
        <v>7</v>
      </c>
      <c r="AB63" s="4" t="n">
        <v>542</v>
      </c>
      <c r="AC63" s="5" t="n">
        <v>99999</v>
      </c>
      <c r="AD63" s="3" t="s">
        <v>138</v>
      </c>
      <c r="AE63" s="6" t="n">
        <v>4038.73485</v>
      </c>
      <c r="AF63" s="5" t="n">
        <v>128</v>
      </c>
      <c r="AG63" s="5" t="n">
        <v>1281</v>
      </c>
      <c r="AH63" s="3" t="s">
        <v>77</v>
      </c>
      <c r="AI63" s="6" t="n">
        <v>7.7922162083</v>
      </c>
      <c r="AJ63" s="7"/>
      <c r="AK63" s="5" t="n">
        <v>99999</v>
      </c>
      <c r="AL63" s="4" t="n">
        <f aca="false">(IF(AC63=99999,0,AC63))+((IF(AF63=99999,0,AF63))/AE63)+AG63+(AJ63/AI63)+(IF(AK63=99999,0,AK63))</f>
        <v>1281.0316930932</v>
      </c>
      <c r="AM63" s="4" t="n">
        <f aca="false">AL63+AB63</f>
        <v>1823.0316930932</v>
      </c>
      <c r="AN63" s="8" t="s">
        <v>334</v>
      </c>
      <c r="AO63" s="8" t="s">
        <v>65</v>
      </c>
      <c r="AP63" s="24" t="e">
        <f aca="false">(IF((F63="Port to Port"),(IF(AND(AC63=99999,OR(AF63="",AF63=99999),AG63="",AJ63="",AK63=99999,#REF!="",#REF!="",#REF!="",#REF!="",#REF!="",#REF!="",AN63&lt;&gt;"",#REF!&lt;&gt;"",#REF!="",#REF!="",AO63&lt;&gt;"",#REF!&lt;&gt;"",#REF!="",#REF!="",#REF!="",#REF!=""),"No Bid",IF(AND(AC63=99999,OR(AF63&lt;&gt;"",AF63=99999),AG63&lt;&gt;"",AJ63&lt;&gt;"",AK63=99999,#REF!&lt;&gt;"",#REF!&lt;&gt;"",#REF!&lt;&gt;"",#REF!&lt;&gt;"",#REF!&lt;&gt;"",#REF!&lt;&gt;"",AN63&lt;&gt;"",#REF!&lt;&gt;"",#REF!="",#REF!="",AO63&lt;&gt;"",#REF!&lt;&gt;"",#REF!="",#REF!="",#REF!&lt;&gt;"",(IF((OR(#REF!="No Trans-Shipments",#REF!="")),(AND(#REF!="",#REF!="")),(IF(#REF!="1 Trans-Shipment",(AND(#REF!&lt;&gt;"",#REF!="")),(AND(#REF!&lt;&gt;"",#REF!&lt;&gt;"")))))),#REF!&lt;&gt;""),"Complete Bid","Incomplete Bid")))))</f>
        <v>#REF!</v>
      </c>
      <c r="AQ63" s="25" t="n">
        <f aca="false">(IF((F63="Door to Port"),(IF(AND(AC63="",AF63="",AG63="",AJ63="",AK63=99999,#REF!="",#REF!="",#REF!="",#REF!="",#REF!="",#REF!="",AN63="",#REF!="",#REF!="",#REF!="",AO63&lt;&gt;"",#REF!&lt;&gt;"",#REF!="",#REF!="",#REF!="",#REF!=""),"No Bid",IF(AND(AC63&lt;&gt;"",AF63&lt;&gt;"",AG63&lt;&gt;"",AJ63&lt;&gt;"",AK63=99999,#REF!&lt;&gt;"",#REF!&lt;&gt;"",#REF!&lt;&gt;"",#REF!&lt;&gt;"",#REF!&lt;&gt;"",#REF!&lt;&gt;"",AN63&lt;&gt;"",#REF!&lt;&gt;"",OR(#REF!="",#REF!&lt;&gt;""),#REF!&lt;&gt;"",AO63&lt;&gt;"",#REF!&lt;&gt;"",#REF!="",#REF!="",#REF!&lt;&gt;"",(IF((OR((#REF!="No Trans-Shipments"),(#REF!=""))),(AND(#REF!="",#REF!="")),(IF(#REF!="1 Trans-Shipment",(AND(#REF!&lt;&gt;"",#REF!="")),(AND(#REF!&lt;&gt;"",#REF!&lt;&gt;"")))))),#REF!&lt;&gt;""),"Complete Bid","Incomplete Bid")))))</f>
        <v>0</v>
      </c>
      <c r="AR63" s="25" t="n">
        <f aca="false">(IF((F63="Port to Door"),(IF(AND(AC63=99999,OR(AF63="",AF63=99999),AG63="",AJ63="",AK63="",#REF!="",#REF!="",#REF!="",#REF!="",#REF!="",#REF!="",AN63&lt;&gt;"",#REF!&lt;&gt;"",#REF!="",#REF!="",AO63="",#REF!="",#REF!="",#REF!="",#REF!="",#REF!=""),"No Bid",IF(AND(AC63=99999,OR(AF63&lt;&gt;"",AF63=99999),AG63&lt;&gt;"",AJ63&lt;&gt;"",AK63&lt;&gt;"",#REF!&lt;&gt;"",#REF!&lt;&gt;"",#REF!&lt;&gt;"",#REF!&lt;&gt;"",#REF!&lt;&gt;"",#REF!&lt;&gt;"",AN63&lt;&gt;"",#REF!&lt;&gt;"",#REF!="",#REF!="",AO63&lt;&gt;"",#REF!&lt;&gt;"",OR(#REF!&lt;&gt;"",#REF!=""),#REF!&lt;&gt;"",#REF!&lt;&gt;"",(IF((OR(#REF!="No Trans-Shipments",#REF!="")),(AND(#REF!="",#REF!="")),(IF(#REF!="1 Trans-Shipment",(AND(#REF!&lt;&gt;"",#REF!="")),(AND(#REF!&lt;&gt;"",#REF!&lt;&gt;"")))))),#REF!&lt;&gt;""),"Complete Bid","Incomplete Bid")))))</f>
        <v>0</v>
      </c>
      <c r="AS63" s="25" t="n">
        <f aca="false">(IF((F63="Door to Door"),(IF(AND(AC63="",AF63="",AG63="",AJ63="",AK63="",#REF!="",#REF!="",#REF!="",#REF!="",#REF!="",#REF!="",AN63="",#REF!="",#REF!="",#REF!="",AO63="",#REF!="",#REF!="",#REF!="",#REF!="",#REF!=""),"No Bid",IF(AND(AC63&lt;&gt;"",AF63&lt;&gt;"",AG63&lt;&gt;"",AJ63&lt;&gt;"",AK63&lt;&gt;"",#REF!&lt;&gt;"",#REF!&lt;&gt;"",#REF!&lt;&gt;"",#REF!&lt;&gt;"",#REF!&lt;&gt;"",#REF!&lt;&gt;"",AN63&lt;&gt;"",#REF!&lt;&gt;"",OR(#REF!&lt;&gt;"",#REF!=""),#REF!&lt;&gt;"",AO63&lt;&gt;"",#REF!&lt;&gt;"",OR(#REF!&lt;&gt;"",#REF!=""),#REF!&lt;&gt;"",#REF!&lt;&gt;"",(IF((OR(#REF!="No Trans-Shipments",#REF!="")),(AND(#REF!="",#REF!="")),(IF(#REF!="1 Trans-Shipment",(AND(#REF!&lt;&gt;"",#REF!="")),(AND(#REF!&lt;&gt;"",#REF!&lt;&gt;"")))))),#REF!&lt;&gt;""),"Complete Bid","Incomplete Bid")))))</f>
        <v>0</v>
      </c>
    </row>
    <row r="64" customFormat="false" ht="12.75" hidden="false" customHeight="true" outlineLevel="0" collapsed="false">
      <c r="A64" s="2" t="s">
        <v>56</v>
      </c>
      <c r="B64" s="23" t="s">
        <v>335</v>
      </c>
      <c r="C64" s="3" t="s">
        <v>58</v>
      </c>
      <c r="D64" s="3" t="s">
        <v>336</v>
      </c>
      <c r="E64" s="3" t="s">
        <v>333</v>
      </c>
      <c r="F64" s="3" t="s">
        <v>61</v>
      </c>
      <c r="G64" s="3" t="s">
        <v>62</v>
      </c>
      <c r="H64" s="3" t="s">
        <v>58</v>
      </c>
      <c r="I64" s="3" t="s">
        <v>134</v>
      </c>
      <c r="J64" s="3" t="s">
        <v>334</v>
      </c>
      <c r="K64" s="3" t="s">
        <v>58</v>
      </c>
      <c r="L64" s="3" t="s">
        <v>65</v>
      </c>
      <c r="M64" s="3" t="s">
        <v>65</v>
      </c>
      <c r="N64" s="3" t="s">
        <v>80</v>
      </c>
      <c r="O64" s="3" t="s">
        <v>67</v>
      </c>
      <c r="P64" s="3" t="s">
        <v>68</v>
      </c>
      <c r="Q64" s="3"/>
      <c r="R64" s="3" t="s">
        <v>136</v>
      </c>
      <c r="S64" s="3"/>
      <c r="T64" s="3" t="s">
        <v>70</v>
      </c>
      <c r="U64" s="3"/>
      <c r="V64" s="4" t="n">
        <v>4</v>
      </c>
      <c r="W64" s="4" t="s">
        <v>142</v>
      </c>
      <c r="X64" s="4" t="n">
        <v>14</v>
      </c>
      <c r="Y64" s="4" t="n">
        <v>14</v>
      </c>
      <c r="Z64" s="4" t="n">
        <v>14</v>
      </c>
      <c r="AA64" s="4" t="n">
        <v>7</v>
      </c>
      <c r="AB64" s="4" t="n">
        <v>1084</v>
      </c>
      <c r="AC64" s="5" t="n">
        <v>99999</v>
      </c>
      <c r="AD64" s="3" t="s">
        <v>138</v>
      </c>
      <c r="AE64" s="6" t="n">
        <v>4038.73485</v>
      </c>
      <c r="AF64" s="5" t="n">
        <v>129</v>
      </c>
      <c r="AG64" s="5" t="n">
        <v>1282</v>
      </c>
      <c r="AH64" s="3" t="s">
        <v>77</v>
      </c>
      <c r="AI64" s="6" t="n">
        <v>7.7922162083</v>
      </c>
      <c r="AJ64" s="7"/>
      <c r="AK64" s="5" t="n">
        <v>99999</v>
      </c>
      <c r="AL64" s="4" t="n">
        <f aca="false">(IF(AC64=99999,0,AC64))+((IF(AF64=99999,0,AF64))/AE64)+AG64+(AJ64/AI64)+(IF(AK64=99999,0,AK64))</f>
        <v>1282.03194069549</v>
      </c>
      <c r="AM64" s="4" t="n">
        <f aca="false">AL64+AB64</f>
        <v>2366.03194069549</v>
      </c>
      <c r="AN64" s="8" t="s">
        <v>334</v>
      </c>
      <c r="AO64" s="8" t="s">
        <v>65</v>
      </c>
      <c r="AP64" s="24" t="e">
        <f aca="false">(IF((F64="Port to Port"),(IF(AND(AC64=99999,OR(AF64="",AF64=99999),AG64="",AJ64="",AK64=99999,#REF!="",#REF!="",#REF!="",#REF!="",#REF!="",#REF!="",AN64&lt;&gt;"",#REF!&lt;&gt;"",#REF!="",#REF!="",AO64&lt;&gt;"",#REF!&lt;&gt;"",#REF!="",#REF!="",#REF!="",#REF!=""),"No Bid",IF(AND(AC64=99999,OR(AF64&lt;&gt;"",AF64=99999),AG64&lt;&gt;"",AJ64&lt;&gt;"",AK64=99999,#REF!&lt;&gt;"",#REF!&lt;&gt;"",#REF!&lt;&gt;"",#REF!&lt;&gt;"",#REF!&lt;&gt;"",#REF!&lt;&gt;"",AN64&lt;&gt;"",#REF!&lt;&gt;"",#REF!="",#REF!="",AO64&lt;&gt;"",#REF!&lt;&gt;"",#REF!="",#REF!="",#REF!&lt;&gt;"",(IF((OR(#REF!="No Trans-Shipments",#REF!="")),(AND(#REF!="",#REF!="")),(IF(#REF!="1 Trans-Shipment",(AND(#REF!&lt;&gt;"",#REF!="")),(AND(#REF!&lt;&gt;"",#REF!&lt;&gt;"")))))),#REF!&lt;&gt;""),"Complete Bid","Incomplete Bid")))))</f>
        <v>#REF!</v>
      </c>
      <c r="AQ64" s="25" t="n">
        <f aca="false">(IF((F64="Door to Port"),(IF(AND(AC64="",AF64="",AG64="",AJ64="",AK64=99999,#REF!="",#REF!="",#REF!="",#REF!="",#REF!="",#REF!="",AN64="",#REF!="",#REF!="",#REF!="",AO64&lt;&gt;"",#REF!&lt;&gt;"",#REF!="",#REF!="",#REF!="",#REF!=""),"No Bid",IF(AND(AC64&lt;&gt;"",AF64&lt;&gt;"",AG64&lt;&gt;"",AJ64&lt;&gt;"",AK64=99999,#REF!&lt;&gt;"",#REF!&lt;&gt;"",#REF!&lt;&gt;"",#REF!&lt;&gt;"",#REF!&lt;&gt;"",#REF!&lt;&gt;"",AN64&lt;&gt;"",#REF!&lt;&gt;"",OR(#REF!="",#REF!&lt;&gt;""),#REF!&lt;&gt;"",AO64&lt;&gt;"",#REF!&lt;&gt;"",#REF!="",#REF!="",#REF!&lt;&gt;"",(IF((OR((#REF!="No Trans-Shipments"),(#REF!=""))),(AND(#REF!="",#REF!="")),(IF(#REF!="1 Trans-Shipment",(AND(#REF!&lt;&gt;"",#REF!="")),(AND(#REF!&lt;&gt;"",#REF!&lt;&gt;"")))))),#REF!&lt;&gt;""),"Complete Bid","Incomplete Bid")))))</f>
        <v>0</v>
      </c>
      <c r="AR64" s="25" t="n">
        <f aca="false">(IF((F64="Port to Door"),(IF(AND(AC64=99999,OR(AF64="",AF64=99999),AG64="",AJ64="",AK64="",#REF!="",#REF!="",#REF!="",#REF!="",#REF!="",#REF!="",AN64&lt;&gt;"",#REF!&lt;&gt;"",#REF!="",#REF!="",AO64="",#REF!="",#REF!="",#REF!="",#REF!="",#REF!=""),"No Bid",IF(AND(AC64=99999,OR(AF64&lt;&gt;"",AF64=99999),AG64&lt;&gt;"",AJ64&lt;&gt;"",AK64&lt;&gt;"",#REF!&lt;&gt;"",#REF!&lt;&gt;"",#REF!&lt;&gt;"",#REF!&lt;&gt;"",#REF!&lt;&gt;"",#REF!&lt;&gt;"",AN64&lt;&gt;"",#REF!&lt;&gt;"",#REF!="",#REF!="",AO64&lt;&gt;"",#REF!&lt;&gt;"",OR(#REF!&lt;&gt;"",#REF!=""),#REF!&lt;&gt;"",#REF!&lt;&gt;"",(IF((OR(#REF!="No Trans-Shipments",#REF!="")),(AND(#REF!="",#REF!="")),(IF(#REF!="1 Trans-Shipment",(AND(#REF!&lt;&gt;"",#REF!="")),(AND(#REF!&lt;&gt;"",#REF!&lt;&gt;"")))))),#REF!&lt;&gt;""),"Complete Bid","Incomplete Bid")))))</f>
        <v>0</v>
      </c>
      <c r="AS64" s="25" t="n">
        <f aca="false">(IF((F64="Door to Door"),(IF(AND(AC64="",AF64="",AG64="",AJ64="",AK64="",#REF!="",#REF!="",#REF!="",#REF!="",#REF!="",#REF!="",AN64="",#REF!="",#REF!="",#REF!="",AO64="",#REF!="",#REF!="",#REF!="",#REF!="",#REF!=""),"No Bid",IF(AND(AC64&lt;&gt;"",AF64&lt;&gt;"",AG64&lt;&gt;"",AJ64&lt;&gt;"",AK64&lt;&gt;"",#REF!&lt;&gt;"",#REF!&lt;&gt;"",#REF!&lt;&gt;"",#REF!&lt;&gt;"",#REF!&lt;&gt;"",#REF!&lt;&gt;"",AN64&lt;&gt;"",#REF!&lt;&gt;"",OR(#REF!&lt;&gt;"",#REF!=""),#REF!&lt;&gt;"",AO64&lt;&gt;"",#REF!&lt;&gt;"",OR(#REF!&lt;&gt;"",#REF!=""),#REF!&lt;&gt;"",#REF!&lt;&gt;"",(IF((OR(#REF!="No Trans-Shipments",#REF!="")),(AND(#REF!="",#REF!="")),(IF(#REF!="1 Trans-Shipment",(AND(#REF!&lt;&gt;"",#REF!="")),(AND(#REF!&lt;&gt;"",#REF!&lt;&gt;"")))))),#REF!&lt;&gt;""),"Complete Bid","Incomplete Bid")))))</f>
        <v>0</v>
      </c>
    </row>
    <row r="65" customFormat="false" ht="12.75" hidden="false" customHeight="true" outlineLevel="0" collapsed="false">
      <c r="A65" s="2" t="s">
        <v>56</v>
      </c>
      <c r="B65" s="23" t="s">
        <v>337</v>
      </c>
      <c r="C65" s="3" t="s">
        <v>58</v>
      </c>
      <c r="D65" s="3" t="s">
        <v>338</v>
      </c>
      <c r="E65" s="3" t="s">
        <v>333</v>
      </c>
      <c r="F65" s="3" t="s">
        <v>61</v>
      </c>
      <c r="G65" s="3" t="s">
        <v>62</v>
      </c>
      <c r="H65" s="3" t="s">
        <v>339</v>
      </c>
      <c r="I65" s="3" t="s">
        <v>134</v>
      </c>
      <c r="J65" s="3" t="s">
        <v>334</v>
      </c>
      <c r="K65" s="3" t="s">
        <v>58</v>
      </c>
      <c r="L65" s="3" t="s">
        <v>305</v>
      </c>
      <c r="M65" s="3" t="s">
        <v>306</v>
      </c>
      <c r="N65" s="3" t="s">
        <v>66</v>
      </c>
      <c r="O65" s="3"/>
      <c r="P65" s="3" t="s">
        <v>68</v>
      </c>
      <c r="Q65" s="3"/>
      <c r="R65" s="3" t="s">
        <v>340</v>
      </c>
      <c r="S65" s="3"/>
      <c r="T65" s="3" t="s">
        <v>307</v>
      </c>
      <c r="U65" s="3"/>
      <c r="V65" s="4" t="n">
        <v>2</v>
      </c>
      <c r="W65" s="4"/>
      <c r="X65" s="4" t="n">
        <v>14</v>
      </c>
      <c r="Y65" s="4" t="n">
        <v>14</v>
      </c>
      <c r="Z65" s="4" t="n">
        <v>17</v>
      </c>
      <c r="AA65" s="4" t="n">
        <v>7</v>
      </c>
      <c r="AB65" s="4" t="n">
        <v>542</v>
      </c>
      <c r="AC65" s="5" t="n">
        <v>99999</v>
      </c>
      <c r="AD65" s="3" t="s">
        <v>138</v>
      </c>
      <c r="AE65" s="6" t="n">
        <v>4038.73485</v>
      </c>
      <c r="AF65" s="5" t="n">
        <v>130</v>
      </c>
      <c r="AG65" s="5" t="n">
        <v>1283</v>
      </c>
      <c r="AH65" s="3" t="s">
        <v>308</v>
      </c>
      <c r="AI65" s="6" t="n">
        <v>4.246720625</v>
      </c>
      <c r="AJ65" s="7"/>
      <c r="AK65" s="5" t="n">
        <v>99999</v>
      </c>
      <c r="AL65" s="4" t="n">
        <f aca="false">(IF(AC65=99999,0,AC65))+((IF(AF65=99999,0,AF65))/AE65)+AG65+(AJ65/AI65)+(IF(AK65=99999,0,AK65))</f>
        <v>1283.03218829778</v>
      </c>
      <c r="AM65" s="4" t="n">
        <f aca="false">AL65+AB65</f>
        <v>1825.03218829778</v>
      </c>
      <c r="AN65" s="8" t="s">
        <v>334</v>
      </c>
      <c r="AO65" s="8" t="s">
        <v>306</v>
      </c>
      <c r="AP65" s="24" t="e">
        <f aca="false">(IF((F65="Port to Port"),(IF(AND(AC65=99999,OR(AF65="",AF65=99999),AG65="",AJ65="",AK65=99999,#REF!="",#REF!="",#REF!="",#REF!="",#REF!="",#REF!="",AN65&lt;&gt;"",#REF!&lt;&gt;"",#REF!="",#REF!="",AO65&lt;&gt;"",#REF!&lt;&gt;"",#REF!="",#REF!="",#REF!="",#REF!=""),"No Bid",IF(AND(AC65=99999,OR(AF65&lt;&gt;"",AF65=99999),AG65&lt;&gt;"",AJ65&lt;&gt;"",AK65=99999,#REF!&lt;&gt;"",#REF!&lt;&gt;"",#REF!&lt;&gt;"",#REF!&lt;&gt;"",#REF!&lt;&gt;"",#REF!&lt;&gt;"",AN65&lt;&gt;"",#REF!&lt;&gt;"",#REF!="",#REF!="",AO65&lt;&gt;"",#REF!&lt;&gt;"",#REF!="",#REF!="",#REF!&lt;&gt;"",(IF((OR(#REF!="No Trans-Shipments",#REF!="")),(AND(#REF!="",#REF!="")),(IF(#REF!="1 Trans-Shipment",(AND(#REF!&lt;&gt;"",#REF!="")),(AND(#REF!&lt;&gt;"",#REF!&lt;&gt;"")))))),#REF!&lt;&gt;""),"Complete Bid","Incomplete Bid")))))</f>
        <v>#REF!</v>
      </c>
      <c r="AQ65" s="25" t="n">
        <f aca="false">(IF((F65="Door to Port"),(IF(AND(AC65="",AF65="",AG65="",AJ65="",AK65=99999,#REF!="",#REF!="",#REF!="",#REF!="",#REF!="",#REF!="",AN65="",#REF!="",#REF!="",#REF!="",AO65&lt;&gt;"",#REF!&lt;&gt;"",#REF!="",#REF!="",#REF!="",#REF!=""),"No Bid",IF(AND(AC65&lt;&gt;"",AF65&lt;&gt;"",AG65&lt;&gt;"",AJ65&lt;&gt;"",AK65=99999,#REF!&lt;&gt;"",#REF!&lt;&gt;"",#REF!&lt;&gt;"",#REF!&lt;&gt;"",#REF!&lt;&gt;"",#REF!&lt;&gt;"",AN65&lt;&gt;"",#REF!&lt;&gt;"",OR(#REF!="",#REF!&lt;&gt;""),#REF!&lt;&gt;"",AO65&lt;&gt;"",#REF!&lt;&gt;"",#REF!="",#REF!="",#REF!&lt;&gt;"",(IF((OR((#REF!="No Trans-Shipments"),(#REF!=""))),(AND(#REF!="",#REF!="")),(IF(#REF!="1 Trans-Shipment",(AND(#REF!&lt;&gt;"",#REF!="")),(AND(#REF!&lt;&gt;"",#REF!&lt;&gt;"")))))),#REF!&lt;&gt;""),"Complete Bid","Incomplete Bid")))))</f>
        <v>0</v>
      </c>
      <c r="AR65" s="25" t="n">
        <f aca="false">(IF((F65="Port to Door"),(IF(AND(AC65=99999,OR(AF65="",AF65=99999),AG65="",AJ65="",AK65="",#REF!="",#REF!="",#REF!="",#REF!="",#REF!="",#REF!="",AN65&lt;&gt;"",#REF!&lt;&gt;"",#REF!="",#REF!="",AO65="",#REF!="",#REF!="",#REF!="",#REF!="",#REF!=""),"No Bid",IF(AND(AC65=99999,OR(AF65&lt;&gt;"",AF65=99999),AG65&lt;&gt;"",AJ65&lt;&gt;"",AK65&lt;&gt;"",#REF!&lt;&gt;"",#REF!&lt;&gt;"",#REF!&lt;&gt;"",#REF!&lt;&gt;"",#REF!&lt;&gt;"",#REF!&lt;&gt;"",AN65&lt;&gt;"",#REF!&lt;&gt;"",#REF!="",#REF!="",AO65&lt;&gt;"",#REF!&lt;&gt;"",OR(#REF!&lt;&gt;"",#REF!=""),#REF!&lt;&gt;"",#REF!&lt;&gt;"",(IF((OR(#REF!="No Trans-Shipments",#REF!="")),(AND(#REF!="",#REF!="")),(IF(#REF!="1 Trans-Shipment",(AND(#REF!&lt;&gt;"",#REF!="")),(AND(#REF!&lt;&gt;"",#REF!&lt;&gt;"")))))),#REF!&lt;&gt;""),"Complete Bid","Incomplete Bid")))))</f>
        <v>0</v>
      </c>
      <c r="AS65" s="25" t="n">
        <f aca="false">(IF((F65="Door to Door"),(IF(AND(AC65="",AF65="",AG65="",AJ65="",AK65="",#REF!="",#REF!="",#REF!="",#REF!="",#REF!="",#REF!="",AN65="",#REF!="",#REF!="",#REF!="",AO65="",#REF!="",#REF!="",#REF!="",#REF!="",#REF!=""),"No Bid",IF(AND(AC65&lt;&gt;"",AF65&lt;&gt;"",AG65&lt;&gt;"",AJ65&lt;&gt;"",AK65&lt;&gt;"",#REF!&lt;&gt;"",#REF!&lt;&gt;"",#REF!&lt;&gt;"",#REF!&lt;&gt;"",#REF!&lt;&gt;"",#REF!&lt;&gt;"",AN65&lt;&gt;"",#REF!&lt;&gt;"",OR(#REF!&lt;&gt;"",#REF!=""),#REF!&lt;&gt;"",AO65&lt;&gt;"",#REF!&lt;&gt;"",OR(#REF!&lt;&gt;"",#REF!=""),#REF!&lt;&gt;"",#REF!&lt;&gt;"",(IF((OR(#REF!="No Trans-Shipments",#REF!="")),(AND(#REF!="",#REF!="")),(IF(#REF!="1 Trans-Shipment",(AND(#REF!&lt;&gt;"",#REF!="")),(AND(#REF!&lt;&gt;"",#REF!&lt;&gt;"")))))),#REF!&lt;&gt;""),"Complete Bid","Incomplete Bid")))))</f>
        <v>0</v>
      </c>
    </row>
    <row r="66" customFormat="false" ht="12.75" hidden="false" customHeight="true" outlineLevel="0" collapsed="false">
      <c r="A66" s="2" t="s">
        <v>56</v>
      </c>
      <c r="B66" s="23" t="s">
        <v>341</v>
      </c>
      <c r="C66" s="3" t="s">
        <v>58</v>
      </c>
      <c r="D66" s="3" t="s">
        <v>342</v>
      </c>
      <c r="E66" s="3" t="s">
        <v>333</v>
      </c>
      <c r="F66" s="3" t="s">
        <v>61</v>
      </c>
      <c r="G66" s="3" t="s">
        <v>62</v>
      </c>
      <c r="H66" s="3" t="s">
        <v>339</v>
      </c>
      <c r="I66" s="3" t="s">
        <v>134</v>
      </c>
      <c r="J66" s="3" t="s">
        <v>334</v>
      </c>
      <c r="K66" s="3" t="s">
        <v>58</v>
      </c>
      <c r="L66" s="3" t="s">
        <v>305</v>
      </c>
      <c r="M66" s="3" t="s">
        <v>306</v>
      </c>
      <c r="N66" s="3" t="s">
        <v>80</v>
      </c>
      <c r="O66" s="3"/>
      <c r="P66" s="3" t="s">
        <v>68</v>
      </c>
      <c r="Q66" s="3"/>
      <c r="R66" s="3" t="s">
        <v>340</v>
      </c>
      <c r="S66" s="3"/>
      <c r="T66" s="3" t="s">
        <v>307</v>
      </c>
      <c r="U66" s="3"/>
      <c r="V66" s="4" t="n">
        <v>6</v>
      </c>
      <c r="W66" s="4" t="s">
        <v>185</v>
      </c>
      <c r="X66" s="4" t="n">
        <v>14</v>
      </c>
      <c r="Y66" s="4" t="n">
        <v>14</v>
      </c>
      <c r="Z66" s="4" t="n">
        <v>17</v>
      </c>
      <c r="AA66" s="4" t="n">
        <v>7</v>
      </c>
      <c r="AB66" s="4" t="n">
        <v>1084</v>
      </c>
      <c r="AC66" s="5" t="n">
        <v>99999</v>
      </c>
      <c r="AD66" s="3" t="s">
        <v>138</v>
      </c>
      <c r="AE66" s="6" t="n">
        <v>4038.73485</v>
      </c>
      <c r="AF66" s="5" t="n">
        <v>131</v>
      </c>
      <c r="AG66" s="5" t="n">
        <v>1284</v>
      </c>
      <c r="AH66" s="3" t="s">
        <v>308</v>
      </c>
      <c r="AI66" s="6" t="n">
        <v>4.246720625</v>
      </c>
      <c r="AJ66" s="7"/>
      <c r="AK66" s="5" t="n">
        <v>99999</v>
      </c>
      <c r="AL66" s="4" t="n">
        <f aca="false">(IF(AC66=99999,0,AC66))+((IF(AF66=99999,0,AF66))/AE66)+AG66+(AJ66/AI66)+(IF(AK66=99999,0,AK66))</f>
        <v>1284.03243590007</v>
      </c>
      <c r="AM66" s="4" t="n">
        <f aca="false">AL66+AB66</f>
        <v>2368.03243590007</v>
      </c>
      <c r="AN66" s="8" t="s">
        <v>334</v>
      </c>
      <c r="AO66" s="8" t="s">
        <v>306</v>
      </c>
      <c r="AP66" s="24" t="e">
        <f aca="false">(IF((F66="Port to Port"),(IF(AND(AC66=99999,OR(AF66="",AF66=99999),AG66="",AJ66="",AK66=99999,#REF!="",#REF!="",#REF!="",#REF!="",#REF!="",#REF!="",AN66&lt;&gt;"",#REF!&lt;&gt;"",#REF!="",#REF!="",AO66&lt;&gt;"",#REF!&lt;&gt;"",#REF!="",#REF!="",#REF!="",#REF!=""),"No Bid",IF(AND(AC66=99999,OR(AF66&lt;&gt;"",AF66=99999),AG66&lt;&gt;"",AJ66&lt;&gt;"",AK66=99999,#REF!&lt;&gt;"",#REF!&lt;&gt;"",#REF!&lt;&gt;"",#REF!&lt;&gt;"",#REF!&lt;&gt;"",#REF!&lt;&gt;"",AN66&lt;&gt;"",#REF!&lt;&gt;"",#REF!="",#REF!="",AO66&lt;&gt;"",#REF!&lt;&gt;"",#REF!="",#REF!="",#REF!&lt;&gt;"",(IF((OR(#REF!="No Trans-Shipments",#REF!="")),(AND(#REF!="",#REF!="")),(IF(#REF!="1 Trans-Shipment",(AND(#REF!&lt;&gt;"",#REF!="")),(AND(#REF!&lt;&gt;"",#REF!&lt;&gt;"")))))),#REF!&lt;&gt;""),"Complete Bid","Incomplete Bid")))))</f>
        <v>#REF!</v>
      </c>
      <c r="AQ66" s="25" t="n">
        <f aca="false">(IF((F66="Door to Port"),(IF(AND(AC66="",AF66="",AG66="",AJ66="",AK66=99999,#REF!="",#REF!="",#REF!="",#REF!="",#REF!="",#REF!="",AN66="",#REF!="",#REF!="",#REF!="",AO66&lt;&gt;"",#REF!&lt;&gt;"",#REF!="",#REF!="",#REF!="",#REF!=""),"No Bid",IF(AND(AC66&lt;&gt;"",AF66&lt;&gt;"",AG66&lt;&gt;"",AJ66&lt;&gt;"",AK66=99999,#REF!&lt;&gt;"",#REF!&lt;&gt;"",#REF!&lt;&gt;"",#REF!&lt;&gt;"",#REF!&lt;&gt;"",#REF!&lt;&gt;"",AN66&lt;&gt;"",#REF!&lt;&gt;"",OR(#REF!="",#REF!&lt;&gt;""),#REF!&lt;&gt;"",AO66&lt;&gt;"",#REF!&lt;&gt;"",#REF!="",#REF!="",#REF!&lt;&gt;"",(IF((OR((#REF!="No Trans-Shipments"),(#REF!=""))),(AND(#REF!="",#REF!="")),(IF(#REF!="1 Trans-Shipment",(AND(#REF!&lt;&gt;"",#REF!="")),(AND(#REF!&lt;&gt;"",#REF!&lt;&gt;"")))))),#REF!&lt;&gt;""),"Complete Bid","Incomplete Bid")))))</f>
        <v>0</v>
      </c>
      <c r="AR66" s="25" t="n">
        <f aca="false">(IF((F66="Port to Door"),(IF(AND(AC66=99999,OR(AF66="",AF66=99999),AG66="",AJ66="",AK66="",#REF!="",#REF!="",#REF!="",#REF!="",#REF!="",#REF!="",AN66&lt;&gt;"",#REF!&lt;&gt;"",#REF!="",#REF!="",AO66="",#REF!="",#REF!="",#REF!="",#REF!="",#REF!=""),"No Bid",IF(AND(AC66=99999,OR(AF66&lt;&gt;"",AF66=99999),AG66&lt;&gt;"",AJ66&lt;&gt;"",AK66&lt;&gt;"",#REF!&lt;&gt;"",#REF!&lt;&gt;"",#REF!&lt;&gt;"",#REF!&lt;&gt;"",#REF!&lt;&gt;"",#REF!&lt;&gt;"",AN66&lt;&gt;"",#REF!&lt;&gt;"",#REF!="",#REF!="",AO66&lt;&gt;"",#REF!&lt;&gt;"",OR(#REF!&lt;&gt;"",#REF!=""),#REF!&lt;&gt;"",#REF!&lt;&gt;"",(IF((OR(#REF!="No Trans-Shipments",#REF!="")),(AND(#REF!="",#REF!="")),(IF(#REF!="1 Trans-Shipment",(AND(#REF!&lt;&gt;"",#REF!="")),(AND(#REF!&lt;&gt;"",#REF!&lt;&gt;"")))))),#REF!&lt;&gt;""),"Complete Bid","Incomplete Bid")))))</f>
        <v>0</v>
      </c>
      <c r="AS66" s="25" t="n">
        <f aca="false">(IF((F66="Door to Door"),(IF(AND(AC66="",AF66="",AG66="",AJ66="",AK66="",#REF!="",#REF!="",#REF!="",#REF!="",#REF!="",#REF!="",AN66="",#REF!="",#REF!="",#REF!="",AO66="",#REF!="",#REF!="",#REF!="",#REF!="",#REF!=""),"No Bid",IF(AND(AC66&lt;&gt;"",AF66&lt;&gt;"",AG66&lt;&gt;"",AJ66&lt;&gt;"",AK66&lt;&gt;"",#REF!&lt;&gt;"",#REF!&lt;&gt;"",#REF!&lt;&gt;"",#REF!&lt;&gt;"",#REF!&lt;&gt;"",#REF!&lt;&gt;"",AN66&lt;&gt;"",#REF!&lt;&gt;"",OR(#REF!&lt;&gt;"",#REF!=""),#REF!&lt;&gt;"",AO66&lt;&gt;"",#REF!&lt;&gt;"",OR(#REF!&lt;&gt;"",#REF!=""),#REF!&lt;&gt;"",#REF!&lt;&gt;"",(IF((OR(#REF!="No Trans-Shipments",#REF!="")),(AND(#REF!="",#REF!="")),(IF(#REF!="1 Trans-Shipment",(AND(#REF!&lt;&gt;"",#REF!="")),(AND(#REF!&lt;&gt;"",#REF!&lt;&gt;"")))))),#REF!&lt;&gt;""),"Complete Bid","Incomplete Bid")))))</f>
        <v>0</v>
      </c>
    </row>
    <row r="67" customFormat="false" ht="12.75" hidden="false" customHeight="true" outlineLevel="0" collapsed="false">
      <c r="A67" s="2" t="s">
        <v>56</v>
      </c>
      <c r="B67" s="23" t="s">
        <v>343</v>
      </c>
      <c r="C67" s="3" t="s">
        <v>58</v>
      </c>
      <c r="D67" s="3" t="s">
        <v>344</v>
      </c>
      <c r="E67" s="3" t="s">
        <v>84</v>
      </c>
      <c r="F67" s="3" t="s">
        <v>345</v>
      </c>
      <c r="G67" s="3" t="s">
        <v>108</v>
      </c>
      <c r="H67" s="3" t="s">
        <v>58</v>
      </c>
      <c r="I67" s="3" t="s">
        <v>346</v>
      </c>
      <c r="J67" s="3" t="s">
        <v>347</v>
      </c>
      <c r="K67" s="3" t="s">
        <v>58</v>
      </c>
      <c r="L67" s="3" t="s">
        <v>86</v>
      </c>
      <c r="M67" s="3" t="s">
        <v>87</v>
      </c>
      <c r="N67" s="3" t="s">
        <v>66</v>
      </c>
      <c r="O67" s="3"/>
      <c r="P67" s="3" t="s">
        <v>68</v>
      </c>
      <c r="Q67" s="3"/>
      <c r="R67" s="3" t="s">
        <v>348</v>
      </c>
      <c r="S67" s="3" t="s">
        <v>349</v>
      </c>
      <c r="T67" s="3" t="s">
        <v>89</v>
      </c>
      <c r="U67" s="3"/>
      <c r="V67" s="4" t="n">
        <v>1</v>
      </c>
      <c r="W67" s="4"/>
      <c r="X67" s="4" t="n">
        <v>7</v>
      </c>
      <c r="Y67" s="4" t="n">
        <v>7</v>
      </c>
      <c r="Z67" s="4" t="n">
        <v>5</v>
      </c>
      <c r="AA67" s="4" t="n">
        <v>30</v>
      </c>
      <c r="AB67" s="4" t="n">
        <v>542</v>
      </c>
      <c r="AC67" s="5"/>
      <c r="AD67" s="3" t="s">
        <v>76</v>
      </c>
      <c r="AE67" s="6" t="n">
        <v>0.8773767083</v>
      </c>
      <c r="AF67" s="5" t="n">
        <v>132</v>
      </c>
      <c r="AG67" s="5" t="n">
        <v>1285</v>
      </c>
      <c r="AH67" s="3" t="s">
        <v>91</v>
      </c>
      <c r="AI67" s="6" t="n">
        <v>1.3964683333</v>
      </c>
      <c r="AJ67" s="7"/>
      <c r="AK67" s="5" t="n">
        <v>99999</v>
      </c>
      <c r="AL67" s="4" t="n">
        <f aca="false">(IF(AC67=99999,0,AC67))+((IF(AF67=99999,0,AF67))/AE67)+AG67+(AJ67/AI67)+(IF(AK67=99999,0,AK67))</f>
        <v>1435.44848894583</v>
      </c>
      <c r="AM67" s="4" t="n">
        <f aca="false">AL67+AB67</f>
        <v>1977.44848894583</v>
      </c>
      <c r="AN67" s="8"/>
      <c r="AO67" s="8" t="s">
        <v>87</v>
      </c>
      <c r="AP67" s="24" t="n">
        <f aca="false">(IF((F67="Port to Port"),(IF(AND(AC67=99999,OR(AF67="",AF67=99999),AG67="",AJ67="",AK67=99999,#REF!="",#REF!="",#REF!="",#REF!="",#REF!="",#REF!="",AN67&lt;&gt;"",#REF!&lt;&gt;"",#REF!="",#REF!="",AO67&lt;&gt;"",#REF!&lt;&gt;"",#REF!="",#REF!="",#REF!="",#REF!=""),"No Bid",IF(AND(AC67=99999,OR(AF67&lt;&gt;"",AF67=99999),AG67&lt;&gt;"",AJ67&lt;&gt;"",AK67=99999,#REF!&lt;&gt;"",#REF!&lt;&gt;"",#REF!&lt;&gt;"",#REF!&lt;&gt;"",#REF!&lt;&gt;"",#REF!&lt;&gt;"",AN67&lt;&gt;"",#REF!&lt;&gt;"",#REF!="",#REF!="",AO67&lt;&gt;"",#REF!&lt;&gt;"",#REF!="",#REF!="",#REF!&lt;&gt;"",(IF((OR(#REF!="No Trans-Shipments",#REF!="")),(AND(#REF!="",#REF!="")),(IF(#REF!="1 Trans-Shipment",(AND(#REF!&lt;&gt;"",#REF!="")),(AND(#REF!&lt;&gt;"",#REF!&lt;&gt;"")))))),#REF!&lt;&gt;""),"Complete Bid","Incomplete Bid")))))</f>
        <v>0</v>
      </c>
      <c r="AQ67" s="25" t="e">
        <f aca="false">(IF((F67="Door to Port"),(IF(AND(AC67="",AF67="",AG67="",AJ67="",AK67=99999,#REF!="",#REF!="",#REF!="",#REF!="",#REF!="",#REF!="",AN67="",#REF!="",#REF!="",#REF!="",AO67&lt;&gt;"",#REF!&lt;&gt;"",#REF!="",#REF!="",#REF!="",#REF!=""),"No Bid",IF(AND(AC67&lt;&gt;"",AF67&lt;&gt;"",AG67&lt;&gt;"",AJ67&lt;&gt;"",AK67=99999,#REF!&lt;&gt;"",#REF!&lt;&gt;"",#REF!&lt;&gt;"",#REF!&lt;&gt;"",#REF!&lt;&gt;"",#REF!&lt;&gt;"",AN67&lt;&gt;"",#REF!&lt;&gt;"",OR(#REF!="",#REF!&lt;&gt;""),#REF!&lt;&gt;"",AO67&lt;&gt;"",#REF!&lt;&gt;"",#REF!="",#REF!="",#REF!&lt;&gt;"",(IF((OR((#REF!="No Trans-Shipments"),(#REF!=""))),(AND(#REF!="",#REF!="")),(IF(#REF!="1 Trans-Shipment",(AND(#REF!&lt;&gt;"",#REF!="")),(AND(#REF!&lt;&gt;"",#REF!&lt;&gt;"")))))),#REF!&lt;&gt;""),"Complete Bid","Incomplete Bid")))))</f>
        <v>#REF!</v>
      </c>
      <c r="AR67" s="25" t="n">
        <f aca="false">(IF((F67="Port to Door"),(IF(AND(AC67=99999,OR(AF67="",AF67=99999),AG67="",AJ67="",AK67="",#REF!="",#REF!="",#REF!="",#REF!="",#REF!="",#REF!="",AN67&lt;&gt;"",#REF!&lt;&gt;"",#REF!="",#REF!="",AO67="",#REF!="",#REF!="",#REF!="",#REF!="",#REF!=""),"No Bid",IF(AND(AC67=99999,OR(AF67&lt;&gt;"",AF67=99999),AG67&lt;&gt;"",AJ67&lt;&gt;"",AK67&lt;&gt;"",#REF!&lt;&gt;"",#REF!&lt;&gt;"",#REF!&lt;&gt;"",#REF!&lt;&gt;"",#REF!&lt;&gt;"",#REF!&lt;&gt;"",AN67&lt;&gt;"",#REF!&lt;&gt;"",#REF!="",#REF!="",AO67&lt;&gt;"",#REF!&lt;&gt;"",OR(#REF!&lt;&gt;"",#REF!=""),#REF!&lt;&gt;"",#REF!&lt;&gt;"",(IF((OR(#REF!="No Trans-Shipments",#REF!="")),(AND(#REF!="",#REF!="")),(IF(#REF!="1 Trans-Shipment",(AND(#REF!&lt;&gt;"",#REF!="")),(AND(#REF!&lt;&gt;"",#REF!&lt;&gt;"")))))),#REF!&lt;&gt;""),"Complete Bid","Incomplete Bid")))))</f>
        <v>0</v>
      </c>
      <c r="AS67" s="25" t="n">
        <f aca="false">(IF((F67="Door to Door"),(IF(AND(AC67="",AF67="",AG67="",AJ67="",AK67="",#REF!="",#REF!="",#REF!="",#REF!="",#REF!="",#REF!="",AN67="",#REF!="",#REF!="",#REF!="",AO67="",#REF!="",#REF!="",#REF!="",#REF!="",#REF!=""),"No Bid",IF(AND(AC67&lt;&gt;"",AF67&lt;&gt;"",AG67&lt;&gt;"",AJ67&lt;&gt;"",AK67&lt;&gt;"",#REF!&lt;&gt;"",#REF!&lt;&gt;"",#REF!&lt;&gt;"",#REF!&lt;&gt;"",#REF!&lt;&gt;"",#REF!&lt;&gt;"",AN67&lt;&gt;"",#REF!&lt;&gt;"",OR(#REF!&lt;&gt;"",#REF!=""),#REF!&lt;&gt;"",AO67&lt;&gt;"",#REF!&lt;&gt;"",OR(#REF!&lt;&gt;"",#REF!=""),#REF!&lt;&gt;"",#REF!&lt;&gt;"",(IF((OR(#REF!="No Trans-Shipments",#REF!="")),(AND(#REF!="",#REF!="")),(IF(#REF!="1 Trans-Shipment",(AND(#REF!&lt;&gt;"",#REF!="")),(AND(#REF!&lt;&gt;"",#REF!&lt;&gt;"")))))),#REF!&lt;&gt;""),"Complete Bid","Incomplete Bid")))))</f>
        <v>0</v>
      </c>
    </row>
    <row r="68" customFormat="false" ht="12.75" hidden="false" customHeight="true" outlineLevel="0" collapsed="false">
      <c r="A68" s="2" t="s">
        <v>56</v>
      </c>
      <c r="B68" s="23" t="s">
        <v>350</v>
      </c>
      <c r="C68" s="3" t="s">
        <v>58</v>
      </c>
      <c r="D68" s="3" t="s">
        <v>351</v>
      </c>
      <c r="E68" s="3" t="s">
        <v>84</v>
      </c>
      <c r="F68" s="3" t="s">
        <v>345</v>
      </c>
      <c r="G68" s="3" t="s">
        <v>108</v>
      </c>
      <c r="H68" s="3" t="s">
        <v>58</v>
      </c>
      <c r="I68" s="3" t="s">
        <v>346</v>
      </c>
      <c r="J68" s="3" t="s">
        <v>347</v>
      </c>
      <c r="K68" s="3" t="s">
        <v>58</v>
      </c>
      <c r="L68" s="3" t="s">
        <v>86</v>
      </c>
      <c r="M68" s="3" t="s">
        <v>87</v>
      </c>
      <c r="N68" s="3" t="s">
        <v>80</v>
      </c>
      <c r="O68" s="3"/>
      <c r="P68" s="3" t="s">
        <v>68</v>
      </c>
      <c r="Q68" s="3"/>
      <c r="R68" s="3" t="s">
        <v>348</v>
      </c>
      <c r="S68" s="3" t="s">
        <v>349</v>
      </c>
      <c r="T68" s="3" t="s">
        <v>89</v>
      </c>
      <c r="U68" s="3"/>
      <c r="V68" s="4" t="n">
        <v>0</v>
      </c>
      <c r="W68" s="4" t="s">
        <v>95</v>
      </c>
      <c r="X68" s="4" t="n">
        <v>7</v>
      </c>
      <c r="Y68" s="4" t="n">
        <v>7</v>
      </c>
      <c r="Z68" s="4" t="n">
        <v>5</v>
      </c>
      <c r="AA68" s="4" t="n">
        <v>30</v>
      </c>
      <c r="AB68" s="4" t="n">
        <v>1084</v>
      </c>
      <c r="AC68" s="5"/>
      <c r="AD68" s="3" t="s">
        <v>76</v>
      </c>
      <c r="AE68" s="6" t="n">
        <v>0.8773767083</v>
      </c>
      <c r="AF68" s="5" t="n">
        <v>133</v>
      </c>
      <c r="AG68" s="5" t="n">
        <v>1286</v>
      </c>
      <c r="AH68" s="3" t="s">
        <v>91</v>
      </c>
      <c r="AI68" s="6" t="n">
        <v>1.3964683333</v>
      </c>
      <c r="AJ68" s="7"/>
      <c r="AK68" s="5" t="n">
        <v>99999</v>
      </c>
      <c r="AL68" s="4" t="n">
        <f aca="false">(IF(AC68=99999,0,AC68))+((IF(AF68=99999,0,AF68))/AE68)+AG68+(AJ68/AI68)+(IF(AK68=99999,0,AK68))</f>
        <v>1437.58825022572</v>
      </c>
      <c r="AM68" s="4" t="n">
        <f aca="false">AL68+AB68</f>
        <v>2521.58825022572</v>
      </c>
      <c r="AN68" s="8"/>
      <c r="AO68" s="8" t="s">
        <v>87</v>
      </c>
      <c r="AP68" s="24" t="n">
        <f aca="false">(IF((F68="Port to Port"),(IF(AND(AC68=99999,OR(AF68="",AF68=99999),AG68="",AJ68="",AK68=99999,#REF!="",#REF!="",#REF!="",#REF!="",#REF!="",#REF!="",AN68&lt;&gt;"",#REF!&lt;&gt;"",#REF!="",#REF!="",AO68&lt;&gt;"",#REF!&lt;&gt;"",#REF!="",#REF!="",#REF!="",#REF!=""),"No Bid",IF(AND(AC68=99999,OR(AF68&lt;&gt;"",AF68=99999),AG68&lt;&gt;"",AJ68&lt;&gt;"",AK68=99999,#REF!&lt;&gt;"",#REF!&lt;&gt;"",#REF!&lt;&gt;"",#REF!&lt;&gt;"",#REF!&lt;&gt;"",#REF!&lt;&gt;"",AN68&lt;&gt;"",#REF!&lt;&gt;"",#REF!="",#REF!="",AO68&lt;&gt;"",#REF!&lt;&gt;"",#REF!="",#REF!="",#REF!&lt;&gt;"",(IF((OR(#REF!="No Trans-Shipments",#REF!="")),(AND(#REF!="",#REF!="")),(IF(#REF!="1 Trans-Shipment",(AND(#REF!&lt;&gt;"",#REF!="")),(AND(#REF!&lt;&gt;"",#REF!&lt;&gt;"")))))),#REF!&lt;&gt;""),"Complete Bid","Incomplete Bid")))))</f>
        <v>0</v>
      </c>
      <c r="AQ68" s="25" t="e">
        <f aca="false">(IF((F68="Door to Port"),(IF(AND(AC68="",AF68="",AG68="",AJ68="",AK68=99999,#REF!="",#REF!="",#REF!="",#REF!="",#REF!="",#REF!="",AN68="",#REF!="",#REF!="",#REF!="",AO68&lt;&gt;"",#REF!&lt;&gt;"",#REF!="",#REF!="",#REF!="",#REF!=""),"No Bid",IF(AND(AC68&lt;&gt;"",AF68&lt;&gt;"",AG68&lt;&gt;"",AJ68&lt;&gt;"",AK68=99999,#REF!&lt;&gt;"",#REF!&lt;&gt;"",#REF!&lt;&gt;"",#REF!&lt;&gt;"",#REF!&lt;&gt;"",#REF!&lt;&gt;"",AN68&lt;&gt;"",#REF!&lt;&gt;"",OR(#REF!="",#REF!&lt;&gt;""),#REF!&lt;&gt;"",AO68&lt;&gt;"",#REF!&lt;&gt;"",#REF!="",#REF!="",#REF!&lt;&gt;"",(IF((OR((#REF!="No Trans-Shipments"),(#REF!=""))),(AND(#REF!="",#REF!="")),(IF(#REF!="1 Trans-Shipment",(AND(#REF!&lt;&gt;"",#REF!="")),(AND(#REF!&lt;&gt;"",#REF!&lt;&gt;"")))))),#REF!&lt;&gt;""),"Complete Bid","Incomplete Bid")))))</f>
        <v>#REF!</v>
      </c>
      <c r="AR68" s="25" t="n">
        <f aca="false">(IF((F68="Port to Door"),(IF(AND(AC68=99999,OR(AF68="",AF68=99999),AG68="",AJ68="",AK68="",#REF!="",#REF!="",#REF!="",#REF!="",#REF!="",#REF!="",AN68&lt;&gt;"",#REF!&lt;&gt;"",#REF!="",#REF!="",AO68="",#REF!="",#REF!="",#REF!="",#REF!="",#REF!=""),"No Bid",IF(AND(AC68=99999,OR(AF68&lt;&gt;"",AF68=99999),AG68&lt;&gt;"",AJ68&lt;&gt;"",AK68&lt;&gt;"",#REF!&lt;&gt;"",#REF!&lt;&gt;"",#REF!&lt;&gt;"",#REF!&lt;&gt;"",#REF!&lt;&gt;"",#REF!&lt;&gt;"",AN68&lt;&gt;"",#REF!&lt;&gt;"",#REF!="",#REF!="",AO68&lt;&gt;"",#REF!&lt;&gt;"",OR(#REF!&lt;&gt;"",#REF!=""),#REF!&lt;&gt;"",#REF!&lt;&gt;"",(IF((OR(#REF!="No Trans-Shipments",#REF!="")),(AND(#REF!="",#REF!="")),(IF(#REF!="1 Trans-Shipment",(AND(#REF!&lt;&gt;"",#REF!="")),(AND(#REF!&lt;&gt;"",#REF!&lt;&gt;"")))))),#REF!&lt;&gt;""),"Complete Bid","Incomplete Bid")))))</f>
        <v>0</v>
      </c>
      <c r="AS68" s="25" t="n">
        <f aca="false">(IF((F68="Door to Door"),(IF(AND(AC68="",AF68="",AG68="",AJ68="",AK68="",#REF!="",#REF!="",#REF!="",#REF!="",#REF!="",#REF!="",AN68="",#REF!="",#REF!="",#REF!="",AO68="",#REF!="",#REF!="",#REF!="",#REF!="",#REF!=""),"No Bid",IF(AND(AC68&lt;&gt;"",AF68&lt;&gt;"",AG68&lt;&gt;"",AJ68&lt;&gt;"",AK68&lt;&gt;"",#REF!&lt;&gt;"",#REF!&lt;&gt;"",#REF!&lt;&gt;"",#REF!&lt;&gt;"",#REF!&lt;&gt;"",#REF!&lt;&gt;"",AN68&lt;&gt;"",#REF!&lt;&gt;"",OR(#REF!&lt;&gt;"",#REF!=""),#REF!&lt;&gt;"",AO68&lt;&gt;"",#REF!&lt;&gt;"",OR(#REF!&lt;&gt;"",#REF!=""),#REF!&lt;&gt;"",#REF!&lt;&gt;"",(IF((OR(#REF!="No Trans-Shipments",#REF!="")),(AND(#REF!="",#REF!="")),(IF(#REF!="1 Trans-Shipment",(AND(#REF!&lt;&gt;"",#REF!="")),(AND(#REF!&lt;&gt;"",#REF!&lt;&gt;"")))))),#REF!&lt;&gt;""),"Complete Bid","Incomplete Bid")))))</f>
        <v>0</v>
      </c>
    </row>
    <row r="69" customFormat="false" ht="12.75" hidden="false" customHeight="true" outlineLevel="0" collapsed="false">
      <c r="A69" s="2" t="s">
        <v>56</v>
      </c>
      <c r="B69" s="23" t="s">
        <v>352</v>
      </c>
      <c r="C69" s="3" t="s">
        <v>58</v>
      </c>
      <c r="D69" s="3" t="s">
        <v>353</v>
      </c>
      <c r="E69" s="3" t="s">
        <v>354</v>
      </c>
      <c r="F69" s="3" t="s">
        <v>345</v>
      </c>
      <c r="G69" s="3" t="s">
        <v>289</v>
      </c>
      <c r="H69" s="3" t="s">
        <v>355</v>
      </c>
      <c r="I69" s="3" t="s">
        <v>356</v>
      </c>
      <c r="J69" s="3" t="s">
        <v>357</v>
      </c>
      <c r="K69" s="3" t="s">
        <v>58</v>
      </c>
      <c r="L69" s="3" t="s">
        <v>86</v>
      </c>
      <c r="M69" s="3" t="s">
        <v>245</v>
      </c>
      <c r="N69" s="3" t="s">
        <v>66</v>
      </c>
      <c r="O69" s="3" t="s">
        <v>358</v>
      </c>
      <c r="P69" s="3" t="s">
        <v>68</v>
      </c>
      <c r="Q69" s="3"/>
      <c r="R69" s="3" t="s">
        <v>359</v>
      </c>
      <c r="S69" s="3" t="s">
        <v>360</v>
      </c>
      <c r="T69" s="3" t="s">
        <v>89</v>
      </c>
      <c r="U69" s="3"/>
      <c r="V69" s="4" t="n">
        <v>0</v>
      </c>
      <c r="W69" s="4"/>
      <c r="X69" s="4" t="n">
        <v>7</v>
      </c>
      <c r="Y69" s="4" t="n">
        <v>7</v>
      </c>
      <c r="Z69" s="4" t="n">
        <v>5</v>
      </c>
      <c r="AA69" s="4" t="n">
        <v>30</v>
      </c>
      <c r="AB69" s="4" t="n">
        <v>542</v>
      </c>
      <c r="AC69" s="5"/>
      <c r="AD69" s="3" t="s">
        <v>156</v>
      </c>
      <c r="AE69" s="6" t="n">
        <v>1</v>
      </c>
      <c r="AF69" s="5" t="n">
        <v>134</v>
      </c>
      <c r="AG69" s="5" t="n">
        <v>1287</v>
      </c>
      <c r="AH69" s="3" t="s">
        <v>91</v>
      </c>
      <c r="AI69" s="6" t="n">
        <v>1.3964683333</v>
      </c>
      <c r="AJ69" s="7"/>
      <c r="AK69" s="5" t="n">
        <v>99999</v>
      </c>
      <c r="AL69" s="4" t="n">
        <f aca="false">(IF(AC69=99999,0,AC69))+((IF(AF69=99999,0,AF69))/AE69)+AG69+(AJ69/AI69)+(IF(AK69=99999,0,AK69))</f>
        <v>1421</v>
      </c>
      <c r="AM69" s="4" t="n">
        <f aca="false">AL69+AB69</f>
        <v>1963</v>
      </c>
      <c r="AN69" s="8"/>
      <c r="AO69" s="8" t="s">
        <v>245</v>
      </c>
      <c r="AP69" s="24" t="n">
        <f aca="false">(IF((F69="Port to Port"),(IF(AND(AC69=99999,OR(AF69="",AF69=99999),AG69="",AJ69="",AK69=99999,#REF!="",#REF!="",#REF!="",#REF!="",#REF!="",#REF!="",AN69&lt;&gt;"",#REF!&lt;&gt;"",#REF!="",#REF!="",AO69&lt;&gt;"",#REF!&lt;&gt;"",#REF!="",#REF!="",#REF!="",#REF!=""),"No Bid",IF(AND(AC69=99999,OR(AF69&lt;&gt;"",AF69=99999),AG69&lt;&gt;"",AJ69&lt;&gt;"",AK69=99999,#REF!&lt;&gt;"",#REF!&lt;&gt;"",#REF!&lt;&gt;"",#REF!&lt;&gt;"",#REF!&lt;&gt;"",#REF!&lt;&gt;"",AN69&lt;&gt;"",#REF!&lt;&gt;"",#REF!="",#REF!="",AO69&lt;&gt;"",#REF!&lt;&gt;"",#REF!="",#REF!="",#REF!&lt;&gt;"",(IF((OR(#REF!="No Trans-Shipments",#REF!="")),(AND(#REF!="",#REF!="")),(IF(#REF!="1 Trans-Shipment",(AND(#REF!&lt;&gt;"",#REF!="")),(AND(#REF!&lt;&gt;"",#REF!&lt;&gt;"")))))),#REF!&lt;&gt;""),"Complete Bid","Incomplete Bid")))))</f>
        <v>0</v>
      </c>
      <c r="AQ69" s="25" t="e">
        <f aca="false">(IF((F69="Door to Port"),(IF(AND(AC69="",AF69="",AG69="",AJ69="",AK69=99999,#REF!="",#REF!="",#REF!="",#REF!="",#REF!="",#REF!="",AN69="",#REF!="",#REF!="",#REF!="",AO69&lt;&gt;"",#REF!&lt;&gt;"",#REF!="",#REF!="",#REF!="",#REF!=""),"No Bid",IF(AND(AC69&lt;&gt;"",AF69&lt;&gt;"",AG69&lt;&gt;"",AJ69&lt;&gt;"",AK69=99999,#REF!&lt;&gt;"",#REF!&lt;&gt;"",#REF!&lt;&gt;"",#REF!&lt;&gt;"",#REF!&lt;&gt;"",#REF!&lt;&gt;"",AN69&lt;&gt;"",#REF!&lt;&gt;"",OR(#REF!="",#REF!&lt;&gt;""),#REF!&lt;&gt;"",AO69&lt;&gt;"",#REF!&lt;&gt;"",#REF!="",#REF!="",#REF!&lt;&gt;"",(IF((OR((#REF!="No Trans-Shipments"),(#REF!=""))),(AND(#REF!="",#REF!="")),(IF(#REF!="1 Trans-Shipment",(AND(#REF!&lt;&gt;"",#REF!="")),(AND(#REF!&lt;&gt;"",#REF!&lt;&gt;"")))))),#REF!&lt;&gt;""),"Complete Bid","Incomplete Bid")))))</f>
        <v>#REF!</v>
      </c>
      <c r="AR69" s="25" t="n">
        <f aca="false">(IF((F69="Port to Door"),(IF(AND(AC69=99999,OR(AF69="",AF69=99999),AG69="",AJ69="",AK69="",#REF!="",#REF!="",#REF!="",#REF!="",#REF!="",#REF!="",AN69&lt;&gt;"",#REF!&lt;&gt;"",#REF!="",#REF!="",AO69="",#REF!="",#REF!="",#REF!="",#REF!="",#REF!=""),"No Bid",IF(AND(AC69=99999,OR(AF69&lt;&gt;"",AF69=99999),AG69&lt;&gt;"",AJ69&lt;&gt;"",AK69&lt;&gt;"",#REF!&lt;&gt;"",#REF!&lt;&gt;"",#REF!&lt;&gt;"",#REF!&lt;&gt;"",#REF!&lt;&gt;"",#REF!&lt;&gt;"",AN69&lt;&gt;"",#REF!&lt;&gt;"",#REF!="",#REF!="",AO69&lt;&gt;"",#REF!&lt;&gt;"",OR(#REF!&lt;&gt;"",#REF!=""),#REF!&lt;&gt;"",#REF!&lt;&gt;"",(IF((OR(#REF!="No Trans-Shipments",#REF!="")),(AND(#REF!="",#REF!="")),(IF(#REF!="1 Trans-Shipment",(AND(#REF!&lt;&gt;"",#REF!="")),(AND(#REF!&lt;&gt;"",#REF!&lt;&gt;"")))))),#REF!&lt;&gt;""),"Complete Bid","Incomplete Bid")))))</f>
        <v>0</v>
      </c>
      <c r="AS69" s="25" t="n">
        <f aca="false">(IF((F69="Door to Door"),(IF(AND(AC69="",AF69="",AG69="",AJ69="",AK69="",#REF!="",#REF!="",#REF!="",#REF!="",#REF!="",#REF!="",AN69="",#REF!="",#REF!="",#REF!="",AO69="",#REF!="",#REF!="",#REF!="",#REF!="",#REF!=""),"No Bid",IF(AND(AC69&lt;&gt;"",AF69&lt;&gt;"",AG69&lt;&gt;"",AJ69&lt;&gt;"",AK69&lt;&gt;"",#REF!&lt;&gt;"",#REF!&lt;&gt;"",#REF!&lt;&gt;"",#REF!&lt;&gt;"",#REF!&lt;&gt;"",#REF!&lt;&gt;"",AN69&lt;&gt;"",#REF!&lt;&gt;"",OR(#REF!&lt;&gt;"",#REF!=""),#REF!&lt;&gt;"",AO69&lt;&gt;"",#REF!&lt;&gt;"",OR(#REF!&lt;&gt;"",#REF!=""),#REF!&lt;&gt;"",#REF!&lt;&gt;"",(IF((OR(#REF!="No Trans-Shipments",#REF!="")),(AND(#REF!="",#REF!="")),(IF(#REF!="1 Trans-Shipment",(AND(#REF!&lt;&gt;"",#REF!="")),(AND(#REF!&lt;&gt;"",#REF!&lt;&gt;"")))))),#REF!&lt;&gt;""),"Complete Bid","Incomplete Bid")))))</f>
        <v>0</v>
      </c>
    </row>
    <row r="70" customFormat="false" ht="12.75" hidden="false" customHeight="true" outlineLevel="0" collapsed="false">
      <c r="A70" s="2" t="s">
        <v>56</v>
      </c>
      <c r="B70" s="23" t="s">
        <v>361</v>
      </c>
      <c r="C70" s="3" t="s">
        <v>58</v>
      </c>
      <c r="D70" s="3" t="s">
        <v>362</v>
      </c>
      <c r="E70" s="3" t="s">
        <v>354</v>
      </c>
      <c r="F70" s="3" t="s">
        <v>345</v>
      </c>
      <c r="G70" s="3" t="s">
        <v>289</v>
      </c>
      <c r="H70" s="3" t="s">
        <v>355</v>
      </c>
      <c r="I70" s="3" t="s">
        <v>356</v>
      </c>
      <c r="J70" s="3" t="s">
        <v>357</v>
      </c>
      <c r="K70" s="3" t="s">
        <v>58</v>
      </c>
      <c r="L70" s="3" t="s">
        <v>86</v>
      </c>
      <c r="M70" s="3" t="s">
        <v>245</v>
      </c>
      <c r="N70" s="3" t="s">
        <v>80</v>
      </c>
      <c r="O70" s="3" t="s">
        <v>358</v>
      </c>
      <c r="P70" s="3" t="s">
        <v>68</v>
      </c>
      <c r="Q70" s="3"/>
      <c r="R70" s="3" t="s">
        <v>359</v>
      </c>
      <c r="S70" s="3" t="s">
        <v>360</v>
      </c>
      <c r="T70" s="3" t="s">
        <v>89</v>
      </c>
      <c r="U70" s="3"/>
      <c r="V70" s="4" t="n">
        <v>24</v>
      </c>
      <c r="W70" s="4" t="s">
        <v>159</v>
      </c>
      <c r="X70" s="4" t="n">
        <v>7</v>
      </c>
      <c r="Y70" s="4" t="n">
        <v>7</v>
      </c>
      <c r="Z70" s="4" t="n">
        <v>5</v>
      </c>
      <c r="AA70" s="4" t="n">
        <v>30</v>
      </c>
      <c r="AB70" s="4" t="n">
        <v>1084</v>
      </c>
      <c r="AC70" s="5"/>
      <c r="AD70" s="3" t="s">
        <v>156</v>
      </c>
      <c r="AE70" s="6" t="n">
        <v>1</v>
      </c>
      <c r="AF70" s="5" t="n">
        <v>135</v>
      </c>
      <c r="AG70" s="5" t="n">
        <v>1288</v>
      </c>
      <c r="AH70" s="3" t="s">
        <v>91</v>
      </c>
      <c r="AI70" s="6" t="n">
        <v>1.3964683333</v>
      </c>
      <c r="AJ70" s="7"/>
      <c r="AK70" s="5" t="n">
        <v>99999</v>
      </c>
      <c r="AL70" s="4" t="n">
        <f aca="false">(IF(AC70=99999,0,AC70))+((IF(AF70=99999,0,AF70))/AE70)+AG70+(AJ70/AI70)+(IF(AK70=99999,0,AK70))</f>
        <v>1423</v>
      </c>
      <c r="AM70" s="4" t="n">
        <f aca="false">AL70+AB70</f>
        <v>2507</v>
      </c>
      <c r="AN70" s="8"/>
      <c r="AO70" s="8" t="s">
        <v>245</v>
      </c>
      <c r="AP70" s="24" t="n">
        <f aca="false">(IF((F70="Port to Port"),(IF(AND(AC70=99999,OR(AF70="",AF70=99999),AG70="",AJ70="",AK70=99999,#REF!="",#REF!="",#REF!="",#REF!="",#REF!="",#REF!="",AN70&lt;&gt;"",#REF!&lt;&gt;"",#REF!="",#REF!="",AO70&lt;&gt;"",#REF!&lt;&gt;"",#REF!="",#REF!="",#REF!="",#REF!=""),"No Bid",IF(AND(AC70=99999,OR(AF70&lt;&gt;"",AF70=99999),AG70&lt;&gt;"",AJ70&lt;&gt;"",AK70=99999,#REF!&lt;&gt;"",#REF!&lt;&gt;"",#REF!&lt;&gt;"",#REF!&lt;&gt;"",#REF!&lt;&gt;"",#REF!&lt;&gt;"",AN70&lt;&gt;"",#REF!&lt;&gt;"",#REF!="",#REF!="",AO70&lt;&gt;"",#REF!&lt;&gt;"",#REF!="",#REF!="",#REF!&lt;&gt;"",(IF((OR(#REF!="No Trans-Shipments",#REF!="")),(AND(#REF!="",#REF!="")),(IF(#REF!="1 Trans-Shipment",(AND(#REF!&lt;&gt;"",#REF!="")),(AND(#REF!&lt;&gt;"",#REF!&lt;&gt;"")))))),#REF!&lt;&gt;""),"Complete Bid","Incomplete Bid")))))</f>
        <v>0</v>
      </c>
      <c r="AQ70" s="25" t="e">
        <f aca="false">(IF((F70="Door to Port"),(IF(AND(AC70="",AF70="",AG70="",AJ70="",AK70=99999,#REF!="",#REF!="",#REF!="",#REF!="",#REF!="",#REF!="",AN70="",#REF!="",#REF!="",#REF!="",AO70&lt;&gt;"",#REF!&lt;&gt;"",#REF!="",#REF!="",#REF!="",#REF!=""),"No Bid",IF(AND(AC70&lt;&gt;"",AF70&lt;&gt;"",AG70&lt;&gt;"",AJ70&lt;&gt;"",AK70=99999,#REF!&lt;&gt;"",#REF!&lt;&gt;"",#REF!&lt;&gt;"",#REF!&lt;&gt;"",#REF!&lt;&gt;"",#REF!&lt;&gt;"",AN70&lt;&gt;"",#REF!&lt;&gt;"",OR(#REF!="",#REF!&lt;&gt;""),#REF!&lt;&gt;"",AO70&lt;&gt;"",#REF!&lt;&gt;"",#REF!="",#REF!="",#REF!&lt;&gt;"",(IF((OR((#REF!="No Trans-Shipments"),(#REF!=""))),(AND(#REF!="",#REF!="")),(IF(#REF!="1 Trans-Shipment",(AND(#REF!&lt;&gt;"",#REF!="")),(AND(#REF!&lt;&gt;"",#REF!&lt;&gt;"")))))),#REF!&lt;&gt;""),"Complete Bid","Incomplete Bid")))))</f>
        <v>#REF!</v>
      </c>
      <c r="AR70" s="25" t="n">
        <f aca="false">(IF((F70="Port to Door"),(IF(AND(AC70=99999,OR(AF70="",AF70=99999),AG70="",AJ70="",AK70="",#REF!="",#REF!="",#REF!="",#REF!="",#REF!="",#REF!="",AN70&lt;&gt;"",#REF!&lt;&gt;"",#REF!="",#REF!="",AO70="",#REF!="",#REF!="",#REF!="",#REF!="",#REF!=""),"No Bid",IF(AND(AC70=99999,OR(AF70&lt;&gt;"",AF70=99999),AG70&lt;&gt;"",AJ70&lt;&gt;"",AK70&lt;&gt;"",#REF!&lt;&gt;"",#REF!&lt;&gt;"",#REF!&lt;&gt;"",#REF!&lt;&gt;"",#REF!&lt;&gt;"",#REF!&lt;&gt;"",AN70&lt;&gt;"",#REF!&lt;&gt;"",#REF!="",#REF!="",AO70&lt;&gt;"",#REF!&lt;&gt;"",OR(#REF!&lt;&gt;"",#REF!=""),#REF!&lt;&gt;"",#REF!&lt;&gt;"",(IF((OR(#REF!="No Trans-Shipments",#REF!="")),(AND(#REF!="",#REF!="")),(IF(#REF!="1 Trans-Shipment",(AND(#REF!&lt;&gt;"",#REF!="")),(AND(#REF!&lt;&gt;"",#REF!&lt;&gt;"")))))),#REF!&lt;&gt;""),"Complete Bid","Incomplete Bid")))))</f>
        <v>0</v>
      </c>
      <c r="AS70" s="25" t="n">
        <f aca="false">(IF((F70="Door to Door"),(IF(AND(AC70="",AF70="",AG70="",AJ70="",AK70="",#REF!="",#REF!="",#REF!="",#REF!="",#REF!="",#REF!="",AN70="",#REF!="",#REF!="",#REF!="",AO70="",#REF!="",#REF!="",#REF!="",#REF!="",#REF!=""),"No Bid",IF(AND(AC70&lt;&gt;"",AF70&lt;&gt;"",AG70&lt;&gt;"",AJ70&lt;&gt;"",AK70&lt;&gt;"",#REF!&lt;&gt;"",#REF!&lt;&gt;"",#REF!&lt;&gt;"",#REF!&lt;&gt;"",#REF!&lt;&gt;"",#REF!&lt;&gt;"",AN70&lt;&gt;"",#REF!&lt;&gt;"",OR(#REF!&lt;&gt;"",#REF!=""),#REF!&lt;&gt;"",AO70&lt;&gt;"",#REF!&lt;&gt;"",OR(#REF!&lt;&gt;"",#REF!=""),#REF!&lt;&gt;"",#REF!&lt;&gt;"",(IF((OR(#REF!="No Trans-Shipments",#REF!="")),(AND(#REF!="",#REF!="")),(IF(#REF!="1 Trans-Shipment",(AND(#REF!&lt;&gt;"",#REF!="")),(AND(#REF!&lt;&gt;"",#REF!&lt;&gt;"")))))),#REF!&lt;&gt;""),"Complete Bid","Incomplete Bid")))))</f>
        <v>0</v>
      </c>
    </row>
    <row r="71" customFormat="false" ht="12.75" hidden="false" customHeight="true" outlineLevel="0" collapsed="false">
      <c r="A71" s="2" t="s">
        <v>56</v>
      </c>
      <c r="B71" s="23" t="s">
        <v>363</v>
      </c>
      <c r="C71" s="3" t="s">
        <v>58</v>
      </c>
      <c r="D71" s="3" t="s">
        <v>364</v>
      </c>
      <c r="E71" s="3" t="s">
        <v>354</v>
      </c>
      <c r="F71" s="3" t="s">
        <v>345</v>
      </c>
      <c r="G71" s="3" t="s">
        <v>289</v>
      </c>
      <c r="H71" s="3" t="s">
        <v>355</v>
      </c>
      <c r="I71" s="3" t="s">
        <v>356</v>
      </c>
      <c r="J71" s="3" t="s">
        <v>357</v>
      </c>
      <c r="K71" s="3" t="s">
        <v>58</v>
      </c>
      <c r="L71" s="3" t="s">
        <v>86</v>
      </c>
      <c r="M71" s="3" t="s">
        <v>87</v>
      </c>
      <c r="N71" s="3" t="s">
        <v>66</v>
      </c>
      <c r="O71" s="3" t="s">
        <v>358</v>
      </c>
      <c r="P71" s="3" t="s">
        <v>68</v>
      </c>
      <c r="Q71" s="3"/>
      <c r="R71" s="3" t="s">
        <v>359</v>
      </c>
      <c r="S71" s="3" t="s">
        <v>360</v>
      </c>
      <c r="T71" s="3" t="s">
        <v>89</v>
      </c>
      <c r="U71" s="3"/>
      <c r="V71" s="4" t="n">
        <v>0</v>
      </c>
      <c r="W71" s="4"/>
      <c r="X71" s="4" t="n">
        <v>7</v>
      </c>
      <c r="Y71" s="4" t="n">
        <v>7</v>
      </c>
      <c r="Z71" s="4" t="n">
        <v>5</v>
      </c>
      <c r="AA71" s="4" t="n">
        <v>30</v>
      </c>
      <c r="AB71" s="4" t="n">
        <v>542</v>
      </c>
      <c r="AC71" s="5"/>
      <c r="AD71" s="3" t="s">
        <v>156</v>
      </c>
      <c r="AE71" s="6" t="n">
        <v>1</v>
      </c>
      <c r="AF71" s="5" t="n">
        <v>136</v>
      </c>
      <c r="AG71" s="5" t="n">
        <v>1289</v>
      </c>
      <c r="AH71" s="3" t="s">
        <v>91</v>
      </c>
      <c r="AI71" s="6" t="n">
        <v>1.3964683333</v>
      </c>
      <c r="AJ71" s="7"/>
      <c r="AK71" s="5" t="n">
        <v>99999</v>
      </c>
      <c r="AL71" s="4" t="n">
        <f aca="false">(IF(AC71=99999,0,AC71))+((IF(AF71=99999,0,AF71))/AE71)+AG71+(AJ71/AI71)+(IF(AK71=99999,0,AK71))</f>
        <v>1425</v>
      </c>
      <c r="AM71" s="4" t="n">
        <f aca="false">AL71+AB71</f>
        <v>1967</v>
      </c>
      <c r="AN71" s="8"/>
      <c r="AO71" s="8" t="s">
        <v>87</v>
      </c>
      <c r="AP71" s="24" t="n">
        <f aca="false">(IF((F71="Port to Port"),(IF(AND(AC71=99999,OR(AF71="",AF71=99999),AG71="",AJ71="",AK71=99999,#REF!="",#REF!="",#REF!="",#REF!="",#REF!="",#REF!="",AN71&lt;&gt;"",#REF!&lt;&gt;"",#REF!="",#REF!="",AO71&lt;&gt;"",#REF!&lt;&gt;"",#REF!="",#REF!="",#REF!="",#REF!=""),"No Bid",IF(AND(AC71=99999,OR(AF71&lt;&gt;"",AF71=99999),AG71&lt;&gt;"",AJ71&lt;&gt;"",AK71=99999,#REF!&lt;&gt;"",#REF!&lt;&gt;"",#REF!&lt;&gt;"",#REF!&lt;&gt;"",#REF!&lt;&gt;"",#REF!&lt;&gt;"",AN71&lt;&gt;"",#REF!&lt;&gt;"",#REF!="",#REF!="",AO71&lt;&gt;"",#REF!&lt;&gt;"",#REF!="",#REF!="",#REF!&lt;&gt;"",(IF((OR(#REF!="No Trans-Shipments",#REF!="")),(AND(#REF!="",#REF!="")),(IF(#REF!="1 Trans-Shipment",(AND(#REF!&lt;&gt;"",#REF!="")),(AND(#REF!&lt;&gt;"",#REF!&lt;&gt;"")))))),#REF!&lt;&gt;""),"Complete Bid","Incomplete Bid")))))</f>
        <v>0</v>
      </c>
      <c r="AQ71" s="25" t="e">
        <f aca="false">(IF((F71="Door to Port"),(IF(AND(AC71="",AF71="",AG71="",AJ71="",AK71=99999,#REF!="",#REF!="",#REF!="",#REF!="",#REF!="",#REF!="",AN71="",#REF!="",#REF!="",#REF!="",AO71&lt;&gt;"",#REF!&lt;&gt;"",#REF!="",#REF!="",#REF!="",#REF!=""),"No Bid",IF(AND(AC71&lt;&gt;"",AF71&lt;&gt;"",AG71&lt;&gt;"",AJ71&lt;&gt;"",AK71=99999,#REF!&lt;&gt;"",#REF!&lt;&gt;"",#REF!&lt;&gt;"",#REF!&lt;&gt;"",#REF!&lt;&gt;"",#REF!&lt;&gt;"",AN71&lt;&gt;"",#REF!&lt;&gt;"",OR(#REF!="",#REF!&lt;&gt;""),#REF!&lt;&gt;"",AO71&lt;&gt;"",#REF!&lt;&gt;"",#REF!="",#REF!="",#REF!&lt;&gt;"",(IF((OR((#REF!="No Trans-Shipments"),(#REF!=""))),(AND(#REF!="",#REF!="")),(IF(#REF!="1 Trans-Shipment",(AND(#REF!&lt;&gt;"",#REF!="")),(AND(#REF!&lt;&gt;"",#REF!&lt;&gt;"")))))),#REF!&lt;&gt;""),"Complete Bid","Incomplete Bid")))))</f>
        <v>#REF!</v>
      </c>
      <c r="AR71" s="25" t="n">
        <f aca="false">(IF((F71="Port to Door"),(IF(AND(AC71=99999,OR(AF71="",AF71=99999),AG71="",AJ71="",AK71="",#REF!="",#REF!="",#REF!="",#REF!="",#REF!="",#REF!="",AN71&lt;&gt;"",#REF!&lt;&gt;"",#REF!="",#REF!="",AO71="",#REF!="",#REF!="",#REF!="",#REF!="",#REF!=""),"No Bid",IF(AND(AC71=99999,OR(AF71&lt;&gt;"",AF71=99999),AG71&lt;&gt;"",AJ71&lt;&gt;"",AK71&lt;&gt;"",#REF!&lt;&gt;"",#REF!&lt;&gt;"",#REF!&lt;&gt;"",#REF!&lt;&gt;"",#REF!&lt;&gt;"",#REF!&lt;&gt;"",AN71&lt;&gt;"",#REF!&lt;&gt;"",#REF!="",#REF!="",AO71&lt;&gt;"",#REF!&lt;&gt;"",OR(#REF!&lt;&gt;"",#REF!=""),#REF!&lt;&gt;"",#REF!&lt;&gt;"",(IF((OR(#REF!="No Trans-Shipments",#REF!="")),(AND(#REF!="",#REF!="")),(IF(#REF!="1 Trans-Shipment",(AND(#REF!&lt;&gt;"",#REF!="")),(AND(#REF!&lt;&gt;"",#REF!&lt;&gt;"")))))),#REF!&lt;&gt;""),"Complete Bid","Incomplete Bid")))))</f>
        <v>0</v>
      </c>
      <c r="AS71" s="25" t="n">
        <f aca="false">(IF((F71="Door to Door"),(IF(AND(AC71="",AF71="",AG71="",AJ71="",AK71="",#REF!="",#REF!="",#REF!="",#REF!="",#REF!="",#REF!="",AN71="",#REF!="",#REF!="",#REF!="",AO71="",#REF!="",#REF!="",#REF!="",#REF!="",#REF!=""),"No Bid",IF(AND(AC71&lt;&gt;"",AF71&lt;&gt;"",AG71&lt;&gt;"",AJ71&lt;&gt;"",AK71&lt;&gt;"",#REF!&lt;&gt;"",#REF!&lt;&gt;"",#REF!&lt;&gt;"",#REF!&lt;&gt;"",#REF!&lt;&gt;"",#REF!&lt;&gt;"",AN71&lt;&gt;"",#REF!&lt;&gt;"",OR(#REF!&lt;&gt;"",#REF!=""),#REF!&lt;&gt;"",AO71&lt;&gt;"",#REF!&lt;&gt;"",OR(#REF!&lt;&gt;"",#REF!=""),#REF!&lt;&gt;"",#REF!&lt;&gt;"",(IF((OR(#REF!="No Trans-Shipments",#REF!="")),(AND(#REF!="",#REF!="")),(IF(#REF!="1 Trans-Shipment",(AND(#REF!&lt;&gt;"",#REF!="")),(AND(#REF!&lt;&gt;"",#REF!&lt;&gt;"")))))),#REF!&lt;&gt;""),"Complete Bid","Incomplete Bid")))))</f>
        <v>0</v>
      </c>
    </row>
    <row r="72" customFormat="false" ht="12.75" hidden="false" customHeight="true" outlineLevel="0" collapsed="false">
      <c r="A72" s="2" t="s">
        <v>56</v>
      </c>
      <c r="B72" s="23" t="s">
        <v>365</v>
      </c>
      <c r="C72" s="3" t="s">
        <v>58</v>
      </c>
      <c r="D72" s="3" t="s">
        <v>366</v>
      </c>
      <c r="E72" s="3" t="s">
        <v>354</v>
      </c>
      <c r="F72" s="3" t="s">
        <v>345</v>
      </c>
      <c r="G72" s="3" t="s">
        <v>289</v>
      </c>
      <c r="H72" s="3" t="s">
        <v>355</v>
      </c>
      <c r="I72" s="3" t="s">
        <v>356</v>
      </c>
      <c r="J72" s="3" t="s">
        <v>357</v>
      </c>
      <c r="K72" s="3" t="s">
        <v>58</v>
      </c>
      <c r="L72" s="3" t="s">
        <v>86</v>
      </c>
      <c r="M72" s="3" t="s">
        <v>87</v>
      </c>
      <c r="N72" s="3" t="s">
        <v>80</v>
      </c>
      <c r="O72" s="3" t="s">
        <v>358</v>
      </c>
      <c r="P72" s="3" t="s">
        <v>68</v>
      </c>
      <c r="Q72" s="3"/>
      <c r="R72" s="3" t="s">
        <v>359</v>
      </c>
      <c r="S72" s="3" t="s">
        <v>360</v>
      </c>
      <c r="T72" s="3" t="s">
        <v>89</v>
      </c>
      <c r="U72" s="3"/>
      <c r="V72" s="4" t="n">
        <v>24</v>
      </c>
      <c r="W72" s="4" t="s">
        <v>159</v>
      </c>
      <c r="X72" s="4" t="n">
        <v>7</v>
      </c>
      <c r="Y72" s="4" t="n">
        <v>7</v>
      </c>
      <c r="Z72" s="4" t="n">
        <v>5</v>
      </c>
      <c r="AA72" s="4" t="n">
        <v>30</v>
      </c>
      <c r="AB72" s="4" t="n">
        <v>1084</v>
      </c>
      <c r="AC72" s="5"/>
      <c r="AD72" s="3" t="s">
        <v>156</v>
      </c>
      <c r="AE72" s="6" t="n">
        <v>1</v>
      </c>
      <c r="AF72" s="5" t="n">
        <v>137</v>
      </c>
      <c r="AG72" s="5" t="n">
        <v>1290</v>
      </c>
      <c r="AH72" s="3" t="s">
        <v>91</v>
      </c>
      <c r="AI72" s="6" t="n">
        <v>1.3964683333</v>
      </c>
      <c r="AJ72" s="7"/>
      <c r="AK72" s="5" t="n">
        <v>99999</v>
      </c>
      <c r="AL72" s="4" t="n">
        <f aca="false">(IF(AC72=99999,0,AC72))+((IF(AF72=99999,0,AF72))/AE72)+AG72+(AJ72/AI72)+(IF(AK72=99999,0,AK72))</f>
        <v>1427</v>
      </c>
      <c r="AM72" s="4" t="n">
        <f aca="false">AL72+AB72</f>
        <v>2511</v>
      </c>
      <c r="AN72" s="8"/>
      <c r="AO72" s="8" t="s">
        <v>87</v>
      </c>
      <c r="AP72" s="24" t="n">
        <f aca="false">(IF((F72="Port to Port"),(IF(AND(AC72=99999,OR(AF72="",AF72=99999),AG72="",AJ72="",AK72=99999,#REF!="",#REF!="",#REF!="",#REF!="",#REF!="",#REF!="",AN72&lt;&gt;"",#REF!&lt;&gt;"",#REF!="",#REF!="",AO72&lt;&gt;"",#REF!&lt;&gt;"",#REF!="",#REF!="",#REF!="",#REF!=""),"No Bid",IF(AND(AC72=99999,OR(AF72&lt;&gt;"",AF72=99999),AG72&lt;&gt;"",AJ72&lt;&gt;"",AK72=99999,#REF!&lt;&gt;"",#REF!&lt;&gt;"",#REF!&lt;&gt;"",#REF!&lt;&gt;"",#REF!&lt;&gt;"",#REF!&lt;&gt;"",AN72&lt;&gt;"",#REF!&lt;&gt;"",#REF!="",#REF!="",AO72&lt;&gt;"",#REF!&lt;&gt;"",#REF!="",#REF!="",#REF!&lt;&gt;"",(IF((OR(#REF!="No Trans-Shipments",#REF!="")),(AND(#REF!="",#REF!="")),(IF(#REF!="1 Trans-Shipment",(AND(#REF!&lt;&gt;"",#REF!="")),(AND(#REF!&lt;&gt;"",#REF!&lt;&gt;"")))))),#REF!&lt;&gt;""),"Complete Bid","Incomplete Bid")))))</f>
        <v>0</v>
      </c>
      <c r="AQ72" s="25" t="e">
        <f aca="false">(IF((F72="Door to Port"),(IF(AND(AC72="",AF72="",AG72="",AJ72="",AK72=99999,#REF!="",#REF!="",#REF!="",#REF!="",#REF!="",#REF!="",AN72="",#REF!="",#REF!="",#REF!="",AO72&lt;&gt;"",#REF!&lt;&gt;"",#REF!="",#REF!="",#REF!="",#REF!=""),"No Bid",IF(AND(AC72&lt;&gt;"",AF72&lt;&gt;"",AG72&lt;&gt;"",AJ72&lt;&gt;"",AK72=99999,#REF!&lt;&gt;"",#REF!&lt;&gt;"",#REF!&lt;&gt;"",#REF!&lt;&gt;"",#REF!&lt;&gt;"",#REF!&lt;&gt;"",AN72&lt;&gt;"",#REF!&lt;&gt;"",OR(#REF!="",#REF!&lt;&gt;""),#REF!&lt;&gt;"",AO72&lt;&gt;"",#REF!&lt;&gt;"",#REF!="",#REF!="",#REF!&lt;&gt;"",(IF((OR((#REF!="No Trans-Shipments"),(#REF!=""))),(AND(#REF!="",#REF!="")),(IF(#REF!="1 Trans-Shipment",(AND(#REF!&lt;&gt;"",#REF!="")),(AND(#REF!&lt;&gt;"",#REF!&lt;&gt;"")))))),#REF!&lt;&gt;""),"Complete Bid","Incomplete Bid")))))</f>
        <v>#REF!</v>
      </c>
      <c r="AR72" s="25" t="n">
        <f aca="false">(IF((F72="Port to Door"),(IF(AND(AC72=99999,OR(AF72="",AF72=99999),AG72="",AJ72="",AK72="",#REF!="",#REF!="",#REF!="",#REF!="",#REF!="",#REF!="",AN72&lt;&gt;"",#REF!&lt;&gt;"",#REF!="",#REF!="",AO72="",#REF!="",#REF!="",#REF!="",#REF!="",#REF!=""),"No Bid",IF(AND(AC72=99999,OR(AF72&lt;&gt;"",AF72=99999),AG72&lt;&gt;"",AJ72&lt;&gt;"",AK72&lt;&gt;"",#REF!&lt;&gt;"",#REF!&lt;&gt;"",#REF!&lt;&gt;"",#REF!&lt;&gt;"",#REF!&lt;&gt;"",#REF!&lt;&gt;"",AN72&lt;&gt;"",#REF!&lt;&gt;"",#REF!="",#REF!="",AO72&lt;&gt;"",#REF!&lt;&gt;"",OR(#REF!&lt;&gt;"",#REF!=""),#REF!&lt;&gt;"",#REF!&lt;&gt;"",(IF((OR(#REF!="No Trans-Shipments",#REF!="")),(AND(#REF!="",#REF!="")),(IF(#REF!="1 Trans-Shipment",(AND(#REF!&lt;&gt;"",#REF!="")),(AND(#REF!&lt;&gt;"",#REF!&lt;&gt;"")))))),#REF!&lt;&gt;""),"Complete Bid","Incomplete Bid")))))</f>
        <v>0</v>
      </c>
      <c r="AS72" s="25" t="n">
        <f aca="false">(IF((F72="Door to Door"),(IF(AND(AC72="",AF72="",AG72="",AJ72="",AK72="",#REF!="",#REF!="",#REF!="",#REF!="",#REF!="",#REF!="",AN72="",#REF!="",#REF!="",#REF!="",AO72="",#REF!="",#REF!="",#REF!="",#REF!="",#REF!=""),"No Bid",IF(AND(AC72&lt;&gt;"",AF72&lt;&gt;"",AG72&lt;&gt;"",AJ72&lt;&gt;"",AK72&lt;&gt;"",#REF!&lt;&gt;"",#REF!&lt;&gt;"",#REF!&lt;&gt;"",#REF!&lt;&gt;"",#REF!&lt;&gt;"",#REF!&lt;&gt;"",AN72&lt;&gt;"",#REF!&lt;&gt;"",OR(#REF!&lt;&gt;"",#REF!=""),#REF!&lt;&gt;"",AO72&lt;&gt;"",#REF!&lt;&gt;"",OR(#REF!&lt;&gt;"",#REF!=""),#REF!&lt;&gt;"",#REF!&lt;&gt;"",(IF((OR(#REF!="No Trans-Shipments",#REF!="")),(AND(#REF!="",#REF!="")),(IF(#REF!="1 Trans-Shipment",(AND(#REF!&lt;&gt;"",#REF!="")),(AND(#REF!&lt;&gt;"",#REF!&lt;&gt;"")))))),#REF!&lt;&gt;""),"Complete Bid","Incomplete Bid")))))</f>
        <v>0</v>
      </c>
    </row>
    <row r="73" customFormat="false" ht="12.75" hidden="false" customHeight="true" outlineLevel="0" collapsed="false">
      <c r="A73" s="2" t="s">
        <v>56</v>
      </c>
      <c r="B73" s="23" t="s">
        <v>367</v>
      </c>
      <c r="C73" s="3" t="s">
        <v>58</v>
      </c>
      <c r="D73" s="3" t="s">
        <v>368</v>
      </c>
      <c r="E73" s="3" t="s">
        <v>120</v>
      </c>
      <c r="F73" s="3" t="s">
        <v>61</v>
      </c>
      <c r="G73" s="3" t="s">
        <v>62</v>
      </c>
      <c r="H73" s="3" t="s">
        <v>58</v>
      </c>
      <c r="I73" s="3" t="s">
        <v>179</v>
      </c>
      <c r="J73" s="3" t="s">
        <v>369</v>
      </c>
      <c r="K73" s="3" t="s">
        <v>58</v>
      </c>
      <c r="L73" s="3" t="s">
        <v>121</v>
      </c>
      <c r="M73" s="3" t="s">
        <v>370</v>
      </c>
      <c r="N73" s="3" t="s">
        <v>66</v>
      </c>
      <c r="O73" s="3"/>
      <c r="P73" s="3" t="s">
        <v>68</v>
      </c>
      <c r="Q73" s="3"/>
      <c r="R73" s="3" t="s">
        <v>371</v>
      </c>
      <c r="S73" s="3"/>
      <c r="T73" s="3" t="s">
        <v>222</v>
      </c>
      <c r="U73" s="3"/>
      <c r="V73" s="4" t="n">
        <v>6</v>
      </c>
      <c r="W73" s="4"/>
      <c r="X73" s="4" t="n">
        <v>5</v>
      </c>
      <c r="Y73" s="4" t="n">
        <v>7</v>
      </c>
      <c r="Z73" s="4" t="n">
        <v>14</v>
      </c>
      <c r="AA73" s="4" t="n">
        <v>3</v>
      </c>
      <c r="AB73" s="4" t="n">
        <v>40</v>
      </c>
      <c r="AC73" s="5" t="n">
        <v>99999</v>
      </c>
      <c r="AD73" s="3" t="s">
        <v>182</v>
      </c>
      <c r="AE73" s="6" t="n">
        <v>6.4657737917</v>
      </c>
      <c r="AF73" s="5" t="n">
        <v>138</v>
      </c>
      <c r="AG73" s="5" t="n">
        <v>1291</v>
      </c>
      <c r="AH73" s="3" t="s">
        <v>127</v>
      </c>
      <c r="AI73" s="6" t="n">
        <v>33.7258754167</v>
      </c>
      <c r="AJ73" s="7"/>
      <c r="AK73" s="5" t="n">
        <v>99999</v>
      </c>
      <c r="AL73" s="4" t="n">
        <f aca="false">(IF(AC73=99999,0,AC73))+((IF(AF73=99999,0,AF73))/AE73)+AG73+(AJ73/AI73)+(IF(AK73=99999,0,AK73))</f>
        <v>1312.34315310832</v>
      </c>
      <c r="AM73" s="4" t="n">
        <f aca="false">AL73+AB73</f>
        <v>1352.34315310832</v>
      </c>
      <c r="AN73" s="8" t="s">
        <v>369</v>
      </c>
      <c r="AO73" s="8" t="s">
        <v>370</v>
      </c>
      <c r="AP73" s="24" t="e">
        <f aca="false">(IF((F73="Port to Port"),(IF(AND(AC73=99999,OR(AF73="",AF73=99999),AG73="",AJ73="",AK73=99999,#REF!="",#REF!="",#REF!="",#REF!="",#REF!="",#REF!="",AN73&lt;&gt;"",#REF!&lt;&gt;"",#REF!="",#REF!="",AO73&lt;&gt;"",#REF!&lt;&gt;"",#REF!="",#REF!="",#REF!="",#REF!=""),"No Bid",IF(AND(AC73=99999,OR(AF73&lt;&gt;"",AF73=99999),AG73&lt;&gt;"",AJ73&lt;&gt;"",AK73=99999,#REF!&lt;&gt;"",#REF!&lt;&gt;"",#REF!&lt;&gt;"",#REF!&lt;&gt;"",#REF!&lt;&gt;"",#REF!&lt;&gt;"",AN73&lt;&gt;"",#REF!&lt;&gt;"",#REF!="",#REF!="",AO73&lt;&gt;"",#REF!&lt;&gt;"",#REF!="",#REF!="",#REF!&lt;&gt;"",(IF((OR(#REF!="No Trans-Shipments",#REF!="")),(AND(#REF!="",#REF!="")),(IF(#REF!="1 Trans-Shipment",(AND(#REF!&lt;&gt;"",#REF!="")),(AND(#REF!&lt;&gt;"",#REF!&lt;&gt;"")))))),#REF!&lt;&gt;""),"Complete Bid","Incomplete Bid")))))</f>
        <v>#REF!</v>
      </c>
      <c r="AQ73" s="25" t="n">
        <f aca="false">(IF((F73="Door to Port"),(IF(AND(AC73="",AF73="",AG73="",AJ73="",AK73=99999,#REF!="",#REF!="",#REF!="",#REF!="",#REF!="",#REF!="",AN73="",#REF!="",#REF!="",#REF!="",AO73&lt;&gt;"",#REF!&lt;&gt;"",#REF!="",#REF!="",#REF!="",#REF!=""),"No Bid",IF(AND(AC73&lt;&gt;"",AF73&lt;&gt;"",AG73&lt;&gt;"",AJ73&lt;&gt;"",AK73=99999,#REF!&lt;&gt;"",#REF!&lt;&gt;"",#REF!&lt;&gt;"",#REF!&lt;&gt;"",#REF!&lt;&gt;"",#REF!&lt;&gt;"",AN73&lt;&gt;"",#REF!&lt;&gt;"",OR(#REF!="",#REF!&lt;&gt;""),#REF!&lt;&gt;"",AO73&lt;&gt;"",#REF!&lt;&gt;"",#REF!="",#REF!="",#REF!&lt;&gt;"",(IF((OR((#REF!="No Trans-Shipments"),(#REF!=""))),(AND(#REF!="",#REF!="")),(IF(#REF!="1 Trans-Shipment",(AND(#REF!&lt;&gt;"",#REF!="")),(AND(#REF!&lt;&gt;"",#REF!&lt;&gt;"")))))),#REF!&lt;&gt;""),"Complete Bid","Incomplete Bid")))))</f>
        <v>0</v>
      </c>
      <c r="AR73" s="25" t="n">
        <f aca="false">(IF((F73="Port to Door"),(IF(AND(AC73=99999,OR(AF73="",AF73=99999),AG73="",AJ73="",AK73="",#REF!="",#REF!="",#REF!="",#REF!="",#REF!="",#REF!="",AN73&lt;&gt;"",#REF!&lt;&gt;"",#REF!="",#REF!="",AO73="",#REF!="",#REF!="",#REF!="",#REF!="",#REF!=""),"No Bid",IF(AND(AC73=99999,OR(AF73&lt;&gt;"",AF73=99999),AG73&lt;&gt;"",AJ73&lt;&gt;"",AK73&lt;&gt;"",#REF!&lt;&gt;"",#REF!&lt;&gt;"",#REF!&lt;&gt;"",#REF!&lt;&gt;"",#REF!&lt;&gt;"",#REF!&lt;&gt;"",AN73&lt;&gt;"",#REF!&lt;&gt;"",#REF!="",#REF!="",AO73&lt;&gt;"",#REF!&lt;&gt;"",OR(#REF!&lt;&gt;"",#REF!=""),#REF!&lt;&gt;"",#REF!&lt;&gt;"",(IF((OR(#REF!="No Trans-Shipments",#REF!="")),(AND(#REF!="",#REF!="")),(IF(#REF!="1 Trans-Shipment",(AND(#REF!&lt;&gt;"",#REF!="")),(AND(#REF!&lt;&gt;"",#REF!&lt;&gt;"")))))),#REF!&lt;&gt;""),"Complete Bid","Incomplete Bid")))))</f>
        <v>0</v>
      </c>
      <c r="AS73" s="25" t="n">
        <f aca="false">(IF((F73="Door to Door"),(IF(AND(AC73="",AF73="",AG73="",AJ73="",AK73="",#REF!="",#REF!="",#REF!="",#REF!="",#REF!="",#REF!="",AN73="",#REF!="",#REF!="",#REF!="",AO73="",#REF!="",#REF!="",#REF!="",#REF!="",#REF!=""),"No Bid",IF(AND(AC73&lt;&gt;"",AF73&lt;&gt;"",AG73&lt;&gt;"",AJ73&lt;&gt;"",AK73&lt;&gt;"",#REF!&lt;&gt;"",#REF!&lt;&gt;"",#REF!&lt;&gt;"",#REF!&lt;&gt;"",#REF!&lt;&gt;"",#REF!&lt;&gt;"",AN73&lt;&gt;"",#REF!&lt;&gt;"",OR(#REF!&lt;&gt;"",#REF!=""),#REF!&lt;&gt;"",AO73&lt;&gt;"",#REF!&lt;&gt;"",OR(#REF!&lt;&gt;"",#REF!=""),#REF!&lt;&gt;"",#REF!&lt;&gt;"",(IF((OR(#REF!="No Trans-Shipments",#REF!="")),(AND(#REF!="",#REF!="")),(IF(#REF!="1 Trans-Shipment",(AND(#REF!&lt;&gt;"",#REF!="")),(AND(#REF!&lt;&gt;"",#REF!&lt;&gt;"")))))),#REF!&lt;&gt;""),"Complete Bid","Incomplete Bid")))))</f>
        <v>0</v>
      </c>
    </row>
    <row r="74" customFormat="false" ht="12.75" hidden="false" customHeight="true" outlineLevel="0" collapsed="false">
      <c r="A74" s="2" t="s">
        <v>56</v>
      </c>
      <c r="B74" s="23" t="s">
        <v>372</v>
      </c>
      <c r="C74" s="3" t="s">
        <v>58</v>
      </c>
      <c r="D74" s="3" t="s">
        <v>373</v>
      </c>
      <c r="E74" s="3" t="s">
        <v>120</v>
      </c>
      <c r="F74" s="3" t="s">
        <v>61</v>
      </c>
      <c r="G74" s="3" t="s">
        <v>62</v>
      </c>
      <c r="H74" s="3" t="s">
        <v>58</v>
      </c>
      <c r="I74" s="3" t="s">
        <v>179</v>
      </c>
      <c r="J74" s="3" t="s">
        <v>369</v>
      </c>
      <c r="K74" s="3" t="s">
        <v>58</v>
      </c>
      <c r="L74" s="3" t="s">
        <v>121</v>
      </c>
      <c r="M74" s="3" t="s">
        <v>370</v>
      </c>
      <c r="N74" s="3" t="s">
        <v>80</v>
      </c>
      <c r="O74" s="3"/>
      <c r="P74" s="3" t="s">
        <v>68</v>
      </c>
      <c r="Q74" s="3"/>
      <c r="R74" s="3" t="s">
        <v>371</v>
      </c>
      <c r="S74" s="3"/>
      <c r="T74" s="3" t="s">
        <v>222</v>
      </c>
      <c r="U74" s="3"/>
      <c r="V74" s="4" t="n">
        <v>18</v>
      </c>
      <c r="W74" s="4" t="s">
        <v>374</v>
      </c>
      <c r="X74" s="4" t="n">
        <v>5</v>
      </c>
      <c r="Y74" s="4" t="n">
        <v>7</v>
      </c>
      <c r="Z74" s="4" t="n">
        <v>14</v>
      </c>
      <c r="AA74" s="4" t="n">
        <v>3</v>
      </c>
      <c r="AB74" s="4" t="n">
        <v>80</v>
      </c>
      <c r="AC74" s="5" t="n">
        <v>99999</v>
      </c>
      <c r="AD74" s="3" t="s">
        <v>182</v>
      </c>
      <c r="AE74" s="6" t="n">
        <v>6.4657737917</v>
      </c>
      <c r="AF74" s="5" t="n">
        <v>139</v>
      </c>
      <c r="AG74" s="5" t="n">
        <v>1292</v>
      </c>
      <c r="AH74" s="3" t="s">
        <v>127</v>
      </c>
      <c r="AI74" s="6" t="n">
        <v>33.7258754167</v>
      </c>
      <c r="AJ74" s="7"/>
      <c r="AK74" s="5" t="n">
        <v>99999</v>
      </c>
      <c r="AL74" s="4" t="n">
        <f aca="false">(IF(AC74=99999,0,AC74))+((IF(AF74=99999,0,AF74))/AE74)+AG74+(AJ74/AI74)+(IF(AK74=99999,0,AK74))</f>
        <v>1313.49781363809</v>
      </c>
      <c r="AM74" s="4" t="n">
        <f aca="false">AL74+AB74</f>
        <v>1393.49781363809</v>
      </c>
      <c r="AN74" s="8" t="s">
        <v>369</v>
      </c>
      <c r="AO74" s="8" t="s">
        <v>370</v>
      </c>
      <c r="AP74" s="24" t="e">
        <f aca="false">(IF((F74="Port to Port"),(IF(AND(AC74=99999,OR(AF74="",AF74=99999),AG74="",AJ74="",AK74=99999,#REF!="",#REF!="",#REF!="",#REF!="",#REF!="",#REF!="",AN74&lt;&gt;"",#REF!&lt;&gt;"",#REF!="",#REF!="",AO74&lt;&gt;"",#REF!&lt;&gt;"",#REF!="",#REF!="",#REF!="",#REF!=""),"No Bid",IF(AND(AC74=99999,OR(AF74&lt;&gt;"",AF74=99999),AG74&lt;&gt;"",AJ74&lt;&gt;"",AK74=99999,#REF!&lt;&gt;"",#REF!&lt;&gt;"",#REF!&lt;&gt;"",#REF!&lt;&gt;"",#REF!&lt;&gt;"",#REF!&lt;&gt;"",AN74&lt;&gt;"",#REF!&lt;&gt;"",#REF!="",#REF!="",AO74&lt;&gt;"",#REF!&lt;&gt;"",#REF!="",#REF!="",#REF!&lt;&gt;"",(IF((OR(#REF!="No Trans-Shipments",#REF!="")),(AND(#REF!="",#REF!="")),(IF(#REF!="1 Trans-Shipment",(AND(#REF!&lt;&gt;"",#REF!="")),(AND(#REF!&lt;&gt;"",#REF!&lt;&gt;"")))))),#REF!&lt;&gt;""),"Complete Bid","Incomplete Bid")))))</f>
        <v>#REF!</v>
      </c>
      <c r="AQ74" s="25" t="n">
        <f aca="false">(IF((F74="Door to Port"),(IF(AND(AC74="",AF74="",AG74="",AJ74="",AK74=99999,#REF!="",#REF!="",#REF!="",#REF!="",#REF!="",#REF!="",AN74="",#REF!="",#REF!="",#REF!="",AO74&lt;&gt;"",#REF!&lt;&gt;"",#REF!="",#REF!="",#REF!="",#REF!=""),"No Bid",IF(AND(AC74&lt;&gt;"",AF74&lt;&gt;"",AG74&lt;&gt;"",AJ74&lt;&gt;"",AK74=99999,#REF!&lt;&gt;"",#REF!&lt;&gt;"",#REF!&lt;&gt;"",#REF!&lt;&gt;"",#REF!&lt;&gt;"",#REF!&lt;&gt;"",AN74&lt;&gt;"",#REF!&lt;&gt;"",OR(#REF!="",#REF!&lt;&gt;""),#REF!&lt;&gt;"",AO74&lt;&gt;"",#REF!&lt;&gt;"",#REF!="",#REF!="",#REF!&lt;&gt;"",(IF((OR((#REF!="No Trans-Shipments"),(#REF!=""))),(AND(#REF!="",#REF!="")),(IF(#REF!="1 Trans-Shipment",(AND(#REF!&lt;&gt;"",#REF!="")),(AND(#REF!&lt;&gt;"",#REF!&lt;&gt;"")))))),#REF!&lt;&gt;""),"Complete Bid","Incomplete Bid")))))</f>
        <v>0</v>
      </c>
      <c r="AR74" s="25" t="n">
        <f aca="false">(IF((F74="Port to Door"),(IF(AND(AC74=99999,OR(AF74="",AF74=99999),AG74="",AJ74="",AK74="",#REF!="",#REF!="",#REF!="",#REF!="",#REF!="",#REF!="",AN74&lt;&gt;"",#REF!&lt;&gt;"",#REF!="",#REF!="",AO74="",#REF!="",#REF!="",#REF!="",#REF!="",#REF!=""),"No Bid",IF(AND(AC74=99999,OR(AF74&lt;&gt;"",AF74=99999),AG74&lt;&gt;"",AJ74&lt;&gt;"",AK74&lt;&gt;"",#REF!&lt;&gt;"",#REF!&lt;&gt;"",#REF!&lt;&gt;"",#REF!&lt;&gt;"",#REF!&lt;&gt;"",#REF!&lt;&gt;"",AN74&lt;&gt;"",#REF!&lt;&gt;"",#REF!="",#REF!="",AO74&lt;&gt;"",#REF!&lt;&gt;"",OR(#REF!&lt;&gt;"",#REF!=""),#REF!&lt;&gt;"",#REF!&lt;&gt;"",(IF((OR(#REF!="No Trans-Shipments",#REF!="")),(AND(#REF!="",#REF!="")),(IF(#REF!="1 Trans-Shipment",(AND(#REF!&lt;&gt;"",#REF!="")),(AND(#REF!&lt;&gt;"",#REF!&lt;&gt;"")))))),#REF!&lt;&gt;""),"Complete Bid","Incomplete Bid")))))</f>
        <v>0</v>
      </c>
      <c r="AS74" s="25" t="n">
        <f aca="false">(IF((F74="Door to Door"),(IF(AND(AC74="",AF74="",AG74="",AJ74="",AK74="",#REF!="",#REF!="",#REF!="",#REF!="",#REF!="",#REF!="",AN74="",#REF!="",#REF!="",#REF!="",AO74="",#REF!="",#REF!="",#REF!="",#REF!="",#REF!=""),"No Bid",IF(AND(AC74&lt;&gt;"",AF74&lt;&gt;"",AG74&lt;&gt;"",AJ74&lt;&gt;"",AK74&lt;&gt;"",#REF!&lt;&gt;"",#REF!&lt;&gt;"",#REF!&lt;&gt;"",#REF!&lt;&gt;"",#REF!&lt;&gt;"",#REF!&lt;&gt;"",AN74&lt;&gt;"",#REF!&lt;&gt;"",OR(#REF!&lt;&gt;"",#REF!=""),#REF!&lt;&gt;"",AO74&lt;&gt;"",#REF!&lt;&gt;"",OR(#REF!&lt;&gt;"",#REF!=""),#REF!&lt;&gt;"",#REF!&lt;&gt;"",(IF((OR(#REF!="No Trans-Shipments",#REF!="")),(AND(#REF!="",#REF!="")),(IF(#REF!="1 Trans-Shipment",(AND(#REF!&lt;&gt;"",#REF!="")),(AND(#REF!&lt;&gt;"",#REF!&lt;&gt;"")))))),#REF!&lt;&gt;""),"Complete Bid","Incomplete Bid")))))</f>
        <v>0</v>
      </c>
    </row>
    <row r="75" customFormat="false" ht="12.75" hidden="false" customHeight="true" outlineLevel="0" collapsed="false">
      <c r="A75" s="2" t="s">
        <v>56</v>
      </c>
      <c r="B75" s="23" t="s">
        <v>375</v>
      </c>
      <c r="C75" s="3" t="s">
        <v>58</v>
      </c>
      <c r="D75" s="3" t="s">
        <v>376</v>
      </c>
      <c r="E75" s="3" t="s">
        <v>60</v>
      </c>
      <c r="F75" s="3" t="s">
        <v>61</v>
      </c>
      <c r="G75" s="3" t="s">
        <v>377</v>
      </c>
      <c r="H75" s="3" t="s">
        <v>85</v>
      </c>
      <c r="I75" s="3" t="s">
        <v>378</v>
      </c>
      <c r="J75" s="3" t="s">
        <v>379</v>
      </c>
      <c r="K75" s="3" t="s">
        <v>58</v>
      </c>
      <c r="L75" s="3" t="s">
        <v>65</v>
      </c>
      <c r="M75" s="3" t="s">
        <v>65</v>
      </c>
      <c r="N75" s="3" t="s">
        <v>66</v>
      </c>
      <c r="O75" s="3" t="s">
        <v>67</v>
      </c>
      <c r="P75" s="3" t="s">
        <v>68</v>
      </c>
      <c r="Q75" s="3"/>
      <c r="R75" s="3" t="s">
        <v>69</v>
      </c>
      <c r="S75" s="3"/>
      <c r="T75" s="3" t="s">
        <v>70</v>
      </c>
      <c r="U75" s="3"/>
      <c r="V75" s="4" t="n">
        <v>5</v>
      </c>
      <c r="W75" s="4"/>
      <c r="X75" s="4" t="n">
        <v>3</v>
      </c>
      <c r="Y75" s="4" t="n">
        <v>7</v>
      </c>
      <c r="Z75" s="4" t="n">
        <v>14</v>
      </c>
      <c r="AA75" s="4" t="n">
        <v>7</v>
      </c>
      <c r="AB75" s="4" t="n">
        <v>271</v>
      </c>
      <c r="AC75" s="5" t="n">
        <v>99999</v>
      </c>
      <c r="AD75" s="3" t="s">
        <v>76</v>
      </c>
      <c r="AE75" s="6" t="n">
        <v>0.8773767083</v>
      </c>
      <c r="AF75" s="5" t="n">
        <v>140</v>
      </c>
      <c r="AG75" s="5" t="n">
        <v>1293</v>
      </c>
      <c r="AH75" s="3" t="s">
        <v>77</v>
      </c>
      <c r="AI75" s="6" t="n">
        <v>7.7922162083</v>
      </c>
      <c r="AJ75" s="7"/>
      <c r="AK75" s="5" t="n">
        <v>99999</v>
      </c>
      <c r="AL75" s="4" t="n">
        <f aca="false">(IF(AC75=99999,0,AC75))+((IF(AF75=99999,0,AF75))/AE75)+AG75+(AJ75/AI75)+(IF(AK75=99999,0,AK75))</f>
        <v>1452.56657918497</v>
      </c>
      <c r="AM75" s="4" t="n">
        <f aca="false">AL75+AB75</f>
        <v>1723.56657918497</v>
      </c>
      <c r="AN75" s="8" t="s">
        <v>379</v>
      </c>
      <c r="AO75" s="8" t="s">
        <v>65</v>
      </c>
      <c r="AP75" s="24" t="e">
        <f aca="false">(IF((F75="Port to Port"),(IF(AND(AC75=99999,OR(AF75="",AF75=99999),AG75="",AJ75="",AK75=99999,#REF!="",#REF!="",#REF!="",#REF!="",#REF!="",#REF!="",AN75&lt;&gt;"",#REF!&lt;&gt;"",#REF!="",#REF!="",AO75&lt;&gt;"",#REF!&lt;&gt;"",#REF!="",#REF!="",#REF!="",#REF!=""),"No Bid",IF(AND(AC75=99999,OR(AF75&lt;&gt;"",AF75=99999),AG75&lt;&gt;"",AJ75&lt;&gt;"",AK75=99999,#REF!&lt;&gt;"",#REF!&lt;&gt;"",#REF!&lt;&gt;"",#REF!&lt;&gt;"",#REF!&lt;&gt;"",#REF!&lt;&gt;"",AN75&lt;&gt;"",#REF!&lt;&gt;"",#REF!="",#REF!="",AO75&lt;&gt;"",#REF!&lt;&gt;"",#REF!="",#REF!="",#REF!&lt;&gt;"",(IF((OR(#REF!="No Trans-Shipments",#REF!="")),(AND(#REF!="",#REF!="")),(IF(#REF!="1 Trans-Shipment",(AND(#REF!&lt;&gt;"",#REF!="")),(AND(#REF!&lt;&gt;"",#REF!&lt;&gt;"")))))),#REF!&lt;&gt;""),"Complete Bid","Incomplete Bid")))))</f>
        <v>#REF!</v>
      </c>
      <c r="AQ75" s="25" t="n">
        <f aca="false">(IF((F75="Door to Port"),(IF(AND(AC75="",AF75="",AG75="",AJ75="",AK75=99999,#REF!="",#REF!="",#REF!="",#REF!="",#REF!="",#REF!="",AN75="",#REF!="",#REF!="",#REF!="",AO75&lt;&gt;"",#REF!&lt;&gt;"",#REF!="",#REF!="",#REF!="",#REF!=""),"No Bid",IF(AND(AC75&lt;&gt;"",AF75&lt;&gt;"",AG75&lt;&gt;"",AJ75&lt;&gt;"",AK75=99999,#REF!&lt;&gt;"",#REF!&lt;&gt;"",#REF!&lt;&gt;"",#REF!&lt;&gt;"",#REF!&lt;&gt;"",#REF!&lt;&gt;"",AN75&lt;&gt;"",#REF!&lt;&gt;"",OR(#REF!="",#REF!&lt;&gt;""),#REF!&lt;&gt;"",AO75&lt;&gt;"",#REF!&lt;&gt;"",#REF!="",#REF!="",#REF!&lt;&gt;"",(IF((OR((#REF!="No Trans-Shipments"),(#REF!=""))),(AND(#REF!="",#REF!="")),(IF(#REF!="1 Trans-Shipment",(AND(#REF!&lt;&gt;"",#REF!="")),(AND(#REF!&lt;&gt;"",#REF!&lt;&gt;"")))))),#REF!&lt;&gt;""),"Complete Bid","Incomplete Bid")))))</f>
        <v>0</v>
      </c>
      <c r="AR75" s="25" t="n">
        <f aca="false">(IF((F75="Port to Door"),(IF(AND(AC75=99999,OR(AF75="",AF75=99999),AG75="",AJ75="",AK75="",#REF!="",#REF!="",#REF!="",#REF!="",#REF!="",#REF!="",AN75&lt;&gt;"",#REF!&lt;&gt;"",#REF!="",#REF!="",AO75="",#REF!="",#REF!="",#REF!="",#REF!="",#REF!=""),"No Bid",IF(AND(AC75=99999,OR(AF75&lt;&gt;"",AF75=99999),AG75&lt;&gt;"",AJ75&lt;&gt;"",AK75&lt;&gt;"",#REF!&lt;&gt;"",#REF!&lt;&gt;"",#REF!&lt;&gt;"",#REF!&lt;&gt;"",#REF!&lt;&gt;"",#REF!&lt;&gt;"",AN75&lt;&gt;"",#REF!&lt;&gt;"",#REF!="",#REF!="",AO75&lt;&gt;"",#REF!&lt;&gt;"",OR(#REF!&lt;&gt;"",#REF!=""),#REF!&lt;&gt;"",#REF!&lt;&gt;"",(IF((OR(#REF!="No Trans-Shipments",#REF!="")),(AND(#REF!="",#REF!="")),(IF(#REF!="1 Trans-Shipment",(AND(#REF!&lt;&gt;"",#REF!="")),(AND(#REF!&lt;&gt;"",#REF!&lt;&gt;"")))))),#REF!&lt;&gt;""),"Complete Bid","Incomplete Bid")))))</f>
        <v>0</v>
      </c>
      <c r="AS75" s="25" t="n">
        <f aca="false">(IF((F75="Door to Door"),(IF(AND(AC75="",AF75="",AG75="",AJ75="",AK75="",#REF!="",#REF!="",#REF!="",#REF!="",#REF!="",#REF!="",AN75="",#REF!="",#REF!="",#REF!="",AO75="",#REF!="",#REF!="",#REF!="",#REF!="",#REF!=""),"No Bid",IF(AND(AC75&lt;&gt;"",AF75&lt;&gt;"",AG75&lt;&gt;"",AJ75&lt;&gt;"",AK75&lt;&gt;"",#REF!&lt;&gt;"",#REF!&lt;&gt;"",#REF!&lt;&gt;"",#REF!&lt;&gt;"",#REF!&lt;&gt;"",#REF!&lt;&gt;"",AN75&lt;&gt;"",#REF!&lt;&gt;"",OR(#REF!&lt;&gt;"",#REF!=""),#REF!&lt;&gt;"",AO75&lt;&gt;"",#REF!&lt;&gt;"",OR(#REF!&lt;&gt;"",#REF!=""),#REF!&lt;&gt;"",#REF!&lt;&gt;"",(IF((OR(#REF!="No Trans-Shipments",#REF!="")),(AND(#REF!="",#REF!="")),(IF(#REF!="1 Trans-Shipment",(AND(#REF!&lt;&gt;"",#REF!="")),(AND(#REF!&lt;&gt;"",#REF!&lt;&gt;"")))))),#REF!&lt;&gt;""),"Complete Bid","Incomplete Bid")))))</f>
        <v>0</v>
      </c>
    </row>
    <row r="76" customFormat="false" ht="12.75" hidden="false" customHeight="true" outlineLevel="0" collapsed="false">
      <c r="A76" s="2" t="s">
        <v>56</v>
      </c>
      <c r="B76" s="23" t="s">
        <v>380</v>
      </c>
      <c r="C76" s="3" t="s">
        <v>58</v>
      </c>
      <c r="D76" s="3" t="s">
        <v>381</v>
      </c>
      <c r="E76" s="3" t="s">
        <v>60</v>
      </c>
      <c r="F76" s="3" t="s">
        <v>61</v>
      </c>
      <c r="G76" s="3" t="s">
        <v>377</v>
      </c>
      <c r="H76" s="3" t="s">
        <v>85</v>
      </c>
      <c r="I76" s="3" t="s">
        <v>378</v>
      </c>
      <c r="J76" s="3" t="s">
        <v>379</v>
      </c>
      <c r="K76" s="3" t="s">
        <v>58</v>
      </c>
      <c r="L76" s="3" t="s">
        <v>65</v>
      </c>
      <c r="M76" s="3" t="s">
        <v>65</v>
      </c>
      <c r="N76" s="3" t="s">
        <v>80</v>
      </c>
      <c r="O76" s="3" t="s">
        <v>67</v>
      </c>
      <c r="P76" s="3" t="s">
        <v>68</v>
      </c>
      <c r="Q76" s="3"/>
      <c r="R76" s="3" t="s">
        <v>69</v>
      </c>
      <c r="S76" s="3"/>
      <c r="T76" s="3" t="s">
        <v>70</v>
      </c>
      <c r="U76" s="3"/>
      <c r="V76" s="4" t="n">
        <v>12</v>
      </c>
      <c r="W76" s="4" t="s">
        <v>194</v>
      </c>
      <c r="X76" s="4" t="n">
        <v>3</v>
      </c>
      <c r="Y76" s="4" t="n">
        <v>7</v>
      </c>
      <c r="Z76" s="4" t="n">
        <v>14</v>
      </c>
      <c r="AA76" s="4" t="n">
        <v>7</v>
      </c>
      <c r="AB76" s="4" t="n">
        <v>542</v>
      </c>
      <c r="AC76" s="5" t="n">
        <v>99999</v>
      </c>
      <c r="AD76" s="3" t="s">
        <v>76</v>
      </c>
      <c r="AE76" s="6" t="n">
        <v>0.8773767083</v>
      </c>
      <c r="AF76" s="5" t="n">
        <v>141</v>
      </c>
      <c r="AG76" s="5" t="n">
        <v>1294</v>
      </c>
      <c r="AH76" s="3" t="s">
        <v>77</v>
      </c>
      <c r="AI76" s="6" t="n">
        <v>7.7922162083</v>
      </c>
      <c r="AJ76" s="7"/>
      <c r="AK76" s="5" t="n">
        <v>99999</v>
      </c>
      <c r="AL76" s="4" t="n">
        <f aca="false">(IF(AC76=99999,0,AC76))+((IF(AF76=99999,0,AF76))/AE76)+AG76+(AJ76/AI76)+(IF(AK76=99999,0,AK76))</f>
        <v>1454.70634046486</v>
      </c>
      <c r="AM76" s="4" t="n">
        <f aca="false">AL76+AB76</f>
        <v>1996.70634046486</v>
      </c>
      <c r="AN76" s="8" t="s">
        <v>379</v>
      </c>
      <c r="AO76" s="8" t="s">
        <v>65</v>
      </c>
      <c r="AP76" s="24" t="e">
        <f aca="false">(IF((F76="Port to Port"),(IF(AND(AC76=99999,OR(AF76="",AF76=99999),AG76="",AJ76="",AK76=99999,#REF!="",#REF!="",#REF!="",#REF!="",#REF!="",#REF!="",AN76&lt;&gt;"",#REF!&lt;&gt;"",#REF!="",#REF!="",AO76&lt;&gt;"",#REF!&lt;&gt;"",#REF!="",#REF!="",#REF!="",#REF!=""),"No Bid",IF(AND(AC76=99999,OR(AF76&lt;&gt;"",AF76=99999),AG76&lt;&gt;"",AJ76&lt;&gt;"",AK76=99999,#REF!&lt;&gt;"",#REF!&lt;&gt;"",#REF!&lt;&gt;"",#REF!&lt;&gt;"",#REF!&lt;&gt;"",#REF!&lt;&gt;"",AN76&lt;&gt;"",#REF!&lt;&gt;"",#REF!="",#REF!="",AO76&lt;&gt;"",#REF!&lt;&gt;"",#REF!="",#REF!="",#REF!&lt;&gt;"",(IF((OR(#REF!="No Trans-Shipments",#REF!="")),(AND(#REF!="",#REF!="")),(IF(#REF!="1 Trans-Shipment",(AND(#REF!&lt;&gt;"",#REF!="")),(AND(#REF!&lt;&gt;"",#REF!&lt;&gt;"")))))),#REF!&lt;&gt;""),"Complete Bid","Incomplete Bid")))))</f>
        <v>#REF!</v>
      </c>
      <c r="AQ76" s="25" t="n">
        <f aca="false">(IF((F76="Door to Port"),(IF(AND(AC76="",AF76="",AG76="",AJ76="",AK76=99999,#REF!="",#REF!="",#REF!="",#REF!="",#REF!="",#REF!="",AN76="",#REF!="",#REF!="",#REF!="",AO76&lt;&gt;"",#REF!&lt;&gt;"",#REF!="",#REF!="",#REF!="",#REF!=""),"No Bid",IF(AND(AC76&lt;&gt;"",AF76&lt;&gt;"",AG76&lt;&gt;"",AJ76&lt;&gt;"",AK76=99999,#REF!&lt;&gt;"",#REF!&lt;&gt;"",#REF!&lt;&gt;"",#REF!&lt;&gt;"",#REF!&lt;&gt;"",#REF!&lt;&gt;"",AN76&lt;&gt;"",#REF!&lt;&gt;"",OR(#REF!="",#REF!&lt;&gt;""),#REF!&lt;&gt;"",AO76&lt;&gt;"",#REF!&lt;&gt;"",#REF!="",#REF!="",#REF!&lt;&gt;"",(IF((OR((#REF!="No Trans-Shipments"),(#REF!=""))),(AND(#REF!="",#REF!="")),(IF(#REF!="1 Trans-Shipment",(AND(#REF!&lt;&gt;"",#REF!="")),(AND(#REF!&lt;&gt;"",#REF!&lt;&gt;"")))))),#REF!&lt;&gt;""),"Complete Bid","Incomplete Bid")))))</f>
        <v>0</v>
      </c>
      <c r="AR76" s="25" t="n">
        <f aca="false">(IF((F76="Port to Door"),(IF(AND(AC76=99999,OR(AF76="",AF76=99999),AG76="",AJ76="",AK76="",#REF!="",#REF!="",#REF!="",#REF!="",#REF!="",#REF!="",AN76&lt;&gt;"",#REF!&lt;&gt;"",#REF!="",#REF!="",AO76="",#REF!="",#REF!="",#REF!="",#REF!="",#REF!=""),"No Bid",IF(AND(AC76=99999,OR(AF76&lt;&gt;"",AF76=99999),AG76&lt;&gt;"",AJ76&lt;&gt;"",AK76&lt;&gt;"",#REF!&lt;&gt;"",#REF!&lt;&gt;"",#REF!&lt;&gt;"",#REF!&lt;&gt;"",#REF!&lt;&gt;"",#REF!&lt;&gt;"",AN76&lt;&gt;"",#REF!&lt;&gt;"",#REF!="",#REF!="",AO76&lt;&gt;"",#REF!&lt;&gt;"",OR(#REF!&lt;&gt;"",#REF!=""),#REF!&lt;&gt;"",#REF!&lt;&gt;"",(IF((OR(#REF!="No Trans-Shipments",#REF!="")),(AND(#REF!="",#REF!="")),(IF(#REF!="1 Trans-Shipment",(AND(#REF!&lt;&gt;"",#REF!="")),(AND(#REF!&lt;&gt;"",#REF!&lt;&gt;"")))))),#REF!&lt;&gt;""),"Complete Bid","Incomplete Bid")))))</f>
        <v>0</v>
      </c>
      <c r="AS76" s="25" t="n">
        <f aca="false">(IF((F76="Door to Door"),(IF(AND(AC76="",AF76="",AG76="",AJ76="",AK76="",#REF!="",#REF!="",#REF!="",#REF!="",#REF!="",#REF!="",AN76="",#REF!="",#REF!="",#REF!="",AO76="",#REF!="",#REF!="",#REF!="",#REF!="",#REF!=""),"No Bid",IF(AND(AC76&lt;&gt;"",AF76&lt;&gt;"",AG76&lt;&gt;"",AJ76&lt;&gt;"",AK76&lt;&gt;"",#REF!&lt;&gt;"",#REF!&lt;&gt;"",#REF!&lt;&gt;"",#REF!&lt;&gt;"",#REF!&lt;&gt;"",#REF!&lt;&gt;"",AN76&lt;&gt;"",#REF!&lt;&gt;"",OR(#REF!&lt;&gt;"",#REF!=""),#REF!&lt;&gt;"",AO76&lt;&gt;"",#REF!&lt;&gt;"",OR(#REF!&lt;&gt;"",#REF!=""),#REF!&lt;&gt;"",#REF!&lt;&gt;"",(IF((OR(#REF!="No Trans-Shipments",#REF!="")),(AND(#REF!="",#REF!="")),(IF(#REF!="1 Trans-Shipment",(AND(#REF!&lt;&gt;"",#REF!="")),(AND(#REF!&lt;&gt;"",#REF!&lt;&gt;"")))))),#REF!&lt;&gt;""),"Complete Bid","Incomplete Bid")))))</f>
        <v>0</v>
      </c>
    </row>
    <row r="77" customFormat="false" ht="12.75" hidden="false" customHeight="true" outlineLevel="0" collapsed="false">
      <c r="A77" s="2" t="s">
        <v>56</v>
      </c>
      <c r="B77" s="23" t="s">
        <v>382</v>
      </c>
      <c r="C77" s="3" t="s">
        <v>58</v>
      </c>
      <c r="D77" s="3" t="s">
        <v>383</v>
      </c>
      <c r="E77" s="3" t="s">
        <v>145</v>
      </c>
      <c r="F77" s="3" t="s">
        <v>61</v>
      </c>
      <c r="G77" s="3" t="s">
        <v>384</v>
      </c>
      <c r="H77" s="3" t="s">
        <v>58</v>
      </c>
      <c r="I77" s="3" t="s">
        <v>162</v>
      </c>
      <c r="J77" s="3" t="s">
        <v>385</v>
      </c>
      <c r="K77" s="3" t="s">
        <v>58</v>
      </c>
      <c r="L77" s="3" t="s">
        <v>109</v>
      </c>
      <c r="M77" s="3" t="s">
        <v>110</v>
      </c>
      <c r="N77" s="3" t="s">
        <v>66</v>
      </c>
      <c r="O77" s="3"/>
      <c r="P77" s="3" t="s">
        <v>68</v>
      </c>
      <c r="Q77" s="3"/>
      <c r="R77" s="3" t="s">
        <v>386</v>
      </c>
      <c r="S77" s="3"/>
      <c r="T77" s="3" t="s">
        <v>147</v>
      </c>
      <c r="U77" s="3"/>
      <c r="V77" s="4" t="n">
        <v>0</v>
      </c>
      <c r="W77" s="4"/>
      <c r="X77" s="4" t="n">
        <v>7</v>
      </c>
      <c r="Y77" s="4" t="n">
        <v>10</v>
      </c>
      <c r="Z77" s="4" t="n">
        <v>5</v>
      </c>
      <c r="AA77" s="4" t="n">
        <v>18</v>
      </c>
      <c r="AB77" s="4" t="n">
        <v>271</v>
      </c>
      <c r="AC77" s="5" t="n">
        <v>99999</v>
      </c>
      <c r="AD77" s="3" t="s">
        <v>165</v>
      </c>
      <c r="AE77" s="6" t="n">
        <v>22841.4983333333</v>
      </c>
      <c r="AF77" s="5" t="n">
        <v>142</v>
      </c>
      <c r="AG77" s="5" t="n">
        <v>1295</v>
      </c>
      <c r="AH77" s="3" t="s">
        <v>114</v>
      </c>
      <c r="AI77" s="6" t="n">
        <v>1.4660412083</v>
      </c>
      <c r="AJ77" s="7"/>
      <c r="AK77" s="5" t="n">
        <v>99999</v>
      </c>
      <c r="AL77" s="4" t="n">
        <f aca="false">(IF(AC77=99999,0,AC77))+((IF(AF77=99999,0,AF77))/AE77)+AG77+(AJ77/AI77)+(IF(AK77=99999,0,AK77))</f>
        <v>1295.00621675505</v>
      </c>
      <c r="AM77" s="4" t="n">
        <f aca="false">AL77+AB77</f>
        <v>1566.00621675505</v>
      </c>
      <c r="AN77" s="8" t="s">
        <v>385</v>
      </c>
      <c r="AO77" s="8" t="s">
        <v>110</v>
      </c>
      <c r="AP77" s="24" t="e">
        <f aca="false">(IF((F77="Port to Port"),(IF(AND(AC77=99999,OR(AF77="",AF77=99999),AG77="",AJ77="",AK77=99999,#REF!="",#REF!="",#REF!="",#REF!="",#REF!="",#REF!="",AN77&lt;&gt;"",#REF!&lt;&gt;"",#REF!="",#REF!="",AO77&lt;&gt;"",#REF!&lt;&gt;"",#REF!="",#REF!="",#REF!="",#REF!=""),"No Bid",IF(AND(AC77=99999,OR(AF77&lt;&gt;"",AF77=99999),AG77&lt;&gt;"",AJ77&lt;&gt;"",AK77=99999,#REF!&lt;&gt;"",#REF!&lt;&gt;"",#REF!&lt;&gt;"",#REF!&lt;&gt;"",#REF!&lt;&gt;"",#REF!&lt;&gt;"",AN77&lt;&gt;"",#REF!&lt;&gt;"",#REF!="",#REF!="",AO77&lt;&gt;"",#REF!&lt;&gt;"",#REF!="",#REF!="",#REF!&lt;&gt;"",(IF((OR(#REF!="No Trans-Shipments",#REF!="")),(AND(#REF!="",#REF!="")),(IF(#REF!="1 Trans-Shipment",(AND(#REF!&lt;&gt;"",#REF!="")),(AND(#REF!&lt;&gt;"",#REF!&lt;&gt;"")))))),#REF!&lt;&gt;""),"Complete Bid","Incomplete Bid")))))</f>
        <v>#REF!</v>
      </c>
      <c r="AQ77" s="25" t="n">
        <f aca="false">(IF((F77="Door to Port"),(IF(AND(AC77="",AF77="",AG77="",AJ77="",AK77=99999,#REF!="",#REF!="",#REF!="",#REF!="",#REF!="",#REF!="",AN77="",#REF!="",#REF!="",#REF!="",AO77&lt;&gt;"",#REF!&lt;&gt;"",#REF!="",#REF!="",#REF!="",#REF!=""),"No Bid",IF(AND(AC77&lt;&gt;"",AF77&lt;&gt;"",AG77&lt;&gt;"",AJ77&lt;&gt;"",AK77=99999,#REF!&lt;&gt;"",#REF!&lt;&gt;"",#REF!&lt;&gt;"",#REF!&lt;&gt;"",#REF!&lt;&gt;"",#REF!&lt;&gt;"",AN77&lt;&gt;"",#REF!&lt;&gt;"",OR(#REF!="",#REF!&lt;&gt;""),#REF!&lt;&gt;"",AO77&lt;&gt;"",#REF!&lt;&gt;"",#REF!="",#REF!="",#REF!&lt;&gt;"",(IF((OR((#REF!="No Trans-Shipments"),(#REF!=""))),(AND(#REF!="",#REF!="")),(IF(#REF!="1 Trans-Shipment",(AND(#REF!&lt;&gt;"",#REF!="")),(AND(#REF!&lt;&gt;"",#REF!&lt;&gt;"")))))),#REF!&lt;&gt;""),"Complete Bid","Incomplete Bid")))))</f>
        <v>0</v>
      </c>
      <c r="AR77" s="25" t="n">
        <f aca="false">(IF((F77="Port to Door"),(IF(AND(AC77=99999,OR(AF77="",AF77=99999),AG77="",AJ77="",AK77="",#REF!="",#REF!="",#REF!="",#REF!="",#REF!="",#REF!="",AN77&lt;&gt;"",#REF!&lt;&gt;"",#REF!="",#REF!="",AO77="",#REF!="",#REF!="",#REF!="",#REF!="",#REF!=""),"No Bid",IF(AND(AC77=99999,OR(AF77&lt;&gt;"",AF77=99999),AG77&lt;&gt;"",AJ77&lt;&gt;"",AK77&lt;&gt;"",#REF!&lt;&gt;"",#REF!&lt;&gt;"",#REF!&lt;&gt;"",#REF!&lt;&gt;"",#REF!&lt;&gt;"",#REF!&lt;&gt;"",AN77&lt;&gt;"",#REF!&lt;&gt;"",#REF!="",#REF!="",AO77&lt;&gt;"",#REF!&lt;&gt;"",OR(#REF!&lt;&gt;"",#REF!=""),#REF!&lt;&gt;"",#REF!&lt;&gt;"",(IF((OR(#REF!="No Trans-Shipments",#REF!="")),(AND(#REF!="",#REF!="")),(IF(#REF!="1 Trans-Shipment",(AND(#REF!&lt;&gt;"",#REF!="")),(AND(#REF!&lt;&gt;"",#REF!&lt;&gt;"")))))),#REF!&lt;&gt;""),"Complete Bid","Incomplete Bid")))))</f>
        <v>0</v>
      </c>
      <c r="AS77" s="25" t="n">
        <f aca="false">(IF((F77="Door to Door"),(IF(AND(AC77="",AF77="",AG77="",AJ77="",AK77="",#REF!="",#REF!="",#REF!="",#REF!="",#REF!="",#REF!="",AN77="",#REF!="",#REF!="",#REF!="",AO77="",#REF!="",#REF!="",#REF!="",#REF!="",#REF!=""),"No Bid",IF(AND(AC77&lt;&gt;"",AF77&lt;&gt;"",AG77&lt;&gt;"",AJ77&lt;&gt;"",AK77&lt;&gt;"",#REF!&lt;&gt;"",#REF!&lt;&gt;"",#REF!&lt;&gt;"",#REF!&lt;&gt;"",#REF!&lt;&gt;"",#REF!&lt;&gt;"",AN77&lt;&gt;"",#REF!&lt;&gt;"",OR(#REF!&lt;&gt;"",#REF!=""),#REF!&lt;&gt;"",AO77&lt;&gt;"",#REF!&lt;&gt;"",OR(#REF!&lt;&gt;"",#REF!=""),#REF!&lt;&gt;"",#REF!&lt;&gt;"",(IF((OR(#REF!="No Trans-Shipments",#REF!="")),(AND(#REF!="",#REF!="")),(IF(#REF!="1 Trans-Shipment",(AND(#REF!&lt;&gt;"",#REF!="")),(AND(#REF!&lt;&gt;"",#REF!&lt;&gt;"")))))),#REF!&lt;&gt;""),"Complete Bid","Incomplete Bid")))))</f>
        <v>0</v>
      </c>
    </row>
    <row r="78" customFormat="false" ht="12.75" hidden="false" customHeight="true" outlineLevel="0" collapsed="false">
      <c r="A78" s="2" t="s">
        <v>56</v>
      </c>
      <c r="B78" s="23" t="s">
        <v>387</v>
      </c>
      <c r="C78" s="3" t="s">
        <v>58</v>
      </c>
      <c r="D78" s="3" t="s">
        <v>388</v>
      </c>
      <c r="E78" s="3" t="s">
        <v>145</v>
      </c>
      <c r="F78" s="3" t="s">
        <v>61</v>
      </c>
      <c r="G78" s="3" t="s">
        <v>384</v>
      </c>
      <c r="H78" s="3" t="s">
        <v>58</v>
      </c>
      <c r="I78" s="3" t="s">
        <v>162</v>
      </c>
      <c r="J78" s="3" t="s">
        <v>385</v>
      </c>
      <c r="K78" s="3" t="s">
        <v>58</v>
      </c>
      <c r="L78" s="3" t="s">
        <v>109</v>
      </c>
      <c r="M78" s="3" t="s">
        <v>110</v>
      </c>
      <c r="N78" s="3" t="s">
        <v>80</v>
      </c>
      <c r="O78" s="3" t="s">
        <v>169</v>
      </c>
      <c r="P78" s="3" t="s">
        <v>68</v>
      </c>
      <c r="Q78" s="3"/>
      <c r="R78" s="3" t="s">
        <v>386</v>
      </c>
      <c r="S78" s="3"/>
      <c r="T78" s="3" t="s">
        <v>389</v>
      </c>
      <c r="U78" s="3"/>
      <c r="V78" s="4" t="n">
        <v>120</v>
      </c>
      <c r="W78" s="4" t="s">
        <v>390</v>
      </c>
      <c r="X78" s="4" t="n">
        <v>7</v>
      </c>
      <c r="Y78" s="4" t="n">
        <v>10</v>
      </c>
      <c r="Z78" s="4" t="n">
        <v>5</v>
      </c>
      <c r="AA78" s="4" t="n">
        <v>18</v>
      </c>
      <c r="AB78" s="4" t="n">
        <v>542</v>
      </c>
      <c r="AC78" s="5" t="n">
        <v>99999</v>
      </c>
      <c r="AD78" s="3" t="s">
        <v>165</v>
      </c>
      <c r="AE78" s="6" t="n">
        <v>22841.4983333333</v>
      </c>
      <c r="AF78" s="5" t="n">
        <v>143</v>
      </c>
      <c r="AG78" s="5" t="n">
        <v>1296</v>
      </c>
      <c r="AH78" s="3" t="s">
        <v>114</v>
      </c>
      <c r="AI78" s="6" t="n">
        <v>1.4660412083</v>
      </c>
      <c r="AJ78" s="7"/>
      <c r="AK78" s="5" t="n">
        <v>99999</v>
      </c>
      <c r="AL78" s="4" t="n">
        <f aca="false">(IF(AC78=99999,0,AC78))+((IF(AF78=99999,0,AF78))/AE78)+AG78+(AJ78/AI78)+(IF(AK78=99999,0,AK78))</f>
        <v>1296.00626053501</v>
      </c>
      <c r="AM78" s="4" t="n">
        <f aca="false">AL78+AB78</f>
        <v>1838.00626053501</v>
      </c>
      <c r="AN78" s="8" t="s">
        <v>385</v>
      </c>
      <c r="AO78" s="8" t="s">
        <v>110</v>
      </c>
      <c r="AP78" s="24" t="e">
        <f aca="false">(IF((F78="Port to Port"),(IF(AND(AC78=99999,OR(AF78="",AF78=99999),AG78="",AJ78="",AK78=99999,#REF!="",#REF!="",#REF!="",#REF!="",#REF!="",#REF!="",AN78&lt;&gt;"",#REF!&lt;&gt;"",#REF!="",#REF!="",AO78&lt;&gt;"",#REF!&lt;&gt;"",#REF!="",#REF!="",#REF!="",#REF!=""),"No Bid",IF(AND(AC78=99999,OR(AF78&lt;&gt;"",AF78=99999),AG78&lt;&gt;"",AJ78&lt;&gt;"",AK78=99999,#REF!&lt;&gt;"",#REF!&lt;&gt;"",#REF!&lt;&gt;"",#REF!&lt;&gt;"",#REF!&lt;&gt;"",#REF!&lt;&gt;"",AN78&lt;&gt;"",#REF!&lt;&gt;"",#REF!="",#REF!="",AO78&lt;&gt;"",#REF!&lt;&gt;"",#REF!="",#REF!="",#REF!&lt;&gt;"",(IF((OR(#REF!="No Trans-Shipments",#REF!="")),(AND(#REF!="",#REF!="")),(IF(#REF!="1 Trans-Shipment",(AND(#REF!&lt;&gt;"",#REF!="")),(AND(#REF!&lt;&gt;"",#REF!&lt;&gt;"")))))),#REF!&lt;&gt;""),"Complete Bid","Incomplete Bid")))))</f>
        <v>#REF!</v>
      </c>
      <c r="AQ78" s="25" t="n">
        <f aca="false">(IF((F78="Door to Port"),(IF(AND(AC78="",AF78="",AG78="",AJ78="",AK78=99999,#REF!="",#REF!="",#REF!="",#REF!="",#REF!="",#REF!="",AN78="",#REF!="",#REF!="",#REF!="",AO78&lt;&gt;"",#REF!&lt;&gt;"",#REF!="",#REF!="",#REF!="",#REF!=""),"No Bid",IF(AND(AC78&lt;&gt;"",AF78&lt;&gt;"",AG78&lt;&gt;"",AJ78&lt;&gt;"",AK78=99999,#REF!&lt;&gt;"",#REF!&lt;&gt;"",#REF!&lt;&gt;"",#REF!&lt;&gt;"",#REF!&lt;&gt;"",#REF!&lt;&gt;"",AN78&lt;&gt;"",#REF!&lt;&gt;"",OR(#REF!="",#REF!&lt;&gt;""),#REF!&lt;&gt;"",AO78&lt;&gt;"",#REF!&lt;&gt;"",#REF!="",#REF!="",#REF!&lt;&gt;"",(IF((OR((#REF!="No Trans-Shipments"),(#REF!=""))),(AND(#REF!="",#REF!="")),(IF(#REF!="1 Trans-Shipment",(AND(#REF!&lt;&gt;"",#REF!="")),(AND(#REF!&lt;&gt;"",#REF!&lt;&gt;"")))))),#REF!&lt;&gt;""),"Complete Bid","Incomplete Bid")))))</f>
        <v>0</v>
      </c>
      <c r="AR78" s="25" t="n">
        <f aca="false">(IF((F78="Port to Door"),(IF(AND(AC78=99999,OR(AF78="",AF78=99999),AG78="",AJ78="",AK78="",#REF!="",#REF!="",#REF!="",#REF!="",#REF!="",#REF!="",AN78&lt;&gt;"",#REF!&lt;&gt;"",#REF!="",#REF!="",AO78="",#REF!="",#REF!="",#REF!="",#REF!="",#REF!=""),"No Bid",IF(AND(AC78=99999,OR(AF78&lt;&gt;"",AF78=99999),AG78&lt;&gt;"",AJ78&lt;&gt;"",AK78&lt;&gt;"",#REF!&lt;&gt;"",#REF!&lt;&gt;"",#REF!&lt;&gt;"",#REF!&lt;&gt;"",#REF!&lt;&gt;"",#REF!&lt;&gt;"",AN78&lt;&gt;"",#REF!&lt;&gt;"",#REF!="",#REF!="",AO78&lt;&gt;"",#REF!&lt;&gt;"",OR(#REF!&lt;&gt;"",#REF!=""),#REF!&lt;&gt;"",#REF!&lt;&gt;"",(IF((OR(#REF!="No Trans-Shipments",#REF!="")),(AND(#REF!="",#REF!="")),(IF(#REF!="1 Trans-Shipment",(AND(#REF!&lt;&gt;"",#REF!="")),(AND(#REF!&lt;&gt;"",#REF!&lt;&gt;"")))))),#REF!&lt;&gt;""),"Complete Bid","Incomplete Bid")))))</f>
        <v>0</v>
      </c>
      <c r="AS78" s="25" t="n">
        <f aca="false">(IF((F78="Door to Door"),(IF(AND(AC78="",AF78="",AG78="",AJ78="",AK78="",#REF!="",#REF!="",#REF!="",#REF!="",#REF!="",#REF!="",AN78="",#REF!="",#REF!="",#REF!="",AO78="",#REF!="",#REF!="",#REF!="",#REF!="",#REF!=""),"No Bid",IF(AND(AC78&lt;&gt;"",AF78&lt;&gt;"",AG78&lt;&gt;"",AJ78&lt;&gt;"",AK78&lt;&gt;"",#REF!&lt;&gt;"",#REF!&lt;&gt;"",#REF!&lt;&gt;"",#REF!&lt;&gt;"",#REF!&lt;&gt;"",#REF!&lt;&gt;"",AN78&lt;&gt;"",#REF!&lt;&gt;"",OR(#REF!&lt;&gt;"",#REF!=""),#REF!&lt;&gt;"",AO78&lt;&gt;"",#REF!&lt;&gt;"",OR(#REF!&lt;&gt;"",#REF!=""),#REF!&lt;&gt;"",#REF!&lt;&gt;"",(IF((OR(#REF!="No Trans-Shipments",#REF!="")),(AND(#REF!="",#REF!="")),(IF(#REF!="1 Trans-Shipment",(AND(#REF!&lt;&gt;"",#REF!="")),(AND(#REF!&lt;&gt;"",#REF!&lt;&gt;"")))))),#REF!&lt;&gt;""),"Complete Bid","Incomplete Bid")))))</f>
        <v>0</v>
      </c>
    </row>
    <row r="79" customFormat="false" ht="12.75" hidden="false" customHeight="true" outlineLevel="0" collapsed="false">
      <c r="A79" s="2" t="s">
        <v>56</v>
      </c>
      <c r="B79" s="23" t="s">
        <v>391</v>
      </c>
      <c r="C79" s="3" t="s">
        <v>58</v>
      </c>
      <c r="D79" s="3" t="s">
        <v>392</v>
      </c>
      <c r="E79" s="3" t="s">
        <v>120</v>
      </c>
      <c r="F79" s="3" t="s">
        <v>61</v>
      </c>
      <c r="G79" s="3" t="s">
        <v>393</v>
      </c>
      <c r="H79" s="3" t="s">
        <v>58</v>
      </c>
      <c r="I79" s="3" t="s">
        <v>162</v>
      </c>
      <c r="J79" s="3" t="s">
        <v>385</v>
      </c>
      <c r="K79" s="3" t="s">
        <v>58</v>
      </c>
      <c r="L79" s="3" t="s">
        <v>121</v>
      </c>
      <c r="M79" s="3" t="s">
        <v>122</v>
      </c>
      <c r="N79" s="3" t="s">
        <v>66</v>
      </c>
      <c r="O79" s="3"/>
      <c r="P79" s="3" t="s">
        <v>68</v>
      </c>
      <c r="Q79" s="3"/>
      <c r="R79" s="3" t="s">
        <v>386</v>
      </c>
      <c r="S79" s="3"/>
      <c r="T79" s="3" t="s">
        <v>394</v>
      </c>
      <c r="U79" s="3"/>
      <c r="V79" s="4" t="n">
        <v>0</v>
      </c>
      <c r="W79" s="4"/>
      <c r="X79" s="4" t="n">
        <v>7</v>
      </c>
      <c r="Y79" s="4" t="n">
        <v>10</v>
      </c>
      <c r="Z79" s="4" t="n">
        <v>14</v>
      </c>
      <c r="AA79" s="4" t="n">
        <v>3</v>
      </c>
      <c r="AB79" s="4" t="n">
        <v>40</v>
      </c>
      <c r="AC79" s="5" t="n">
        <v>99999</v>
      </c>
      <c r="AD79" s="3" t="s">
        <v>165</v>
      </c>
      <c r="AE79" s="6" t="n">
        <v>22841.4983333333</v>
      </c>
      <c r="AF79" s="5" t="n">
        <v>144</v>
      </c>
      <c r="AG79" s="5" t="n">
        <v>1297</v>
      </c>
      <c r="AH79" s="3" t="s">
        <v>127</v>
      </c>
      <c r="AI79" s="6" t="n">
        <v>33.7258754167</v>
      </c>
      <c r="AJ79" s="7"/>
      <c r="AK79" s="5" t="n">
        <v>99999</v>
      </c>
      <c r="AL79" s="4" t="n">
        <f aca="false">(IF(AC79=99999,0,AC79))+((IF(AF79=99999,0,AF79))/AE79)+AG79+(AJ79/AI79)+(IF(AK79=99999,0,AK79))</f>
        <v>1297.00630431498</v>
      </c>
      <c r="AM79" s="4" t="n">
        <f aca="false">AL79+AB79</f>
        <v>1337.00630431498</v>
      </c>
      <c r="AN79" s="8" t="s">
        <v>385</v>
      </c>
      <c r="AO79" s="8" t="s">
        <v>122</v>
      </c>
      <c r="AP79" s="24" t="e">
        <f aca="false">(IF((F79="Port to Port"),(IF(AND(AC79=99999,OR(AF79="",AF79=99999),AG79="",AJ79="",AK79=99999,#REF!="",#REF!="",#REF!="",#REF!="",#REF!="",#REF!="",AN79&lt;&gt;"",#REF!&lt;&gt;"",#REF!="",#REF!="",AO79&lt;&gt;"",#REF!&lt;&gt;"",#REF!="",#REF!="",#REF!="",#REF!=""),"No Bid",IF(AND(AC79=99999,OR(AF79&lt;&gt;"",AF79=99999),AG79&lt;&gt;"",AJ79&lt;&gt;"",AK79=99999,#REF!&lt;&gt;"",#REF!&lt;&gt;"",#REF!&lt;&gt;"",#REF!&lt;&gt;"",#REF!&lt;&gt;"",#REF!&lt;&gt;"",AN79&lt;&gt;"",#REF!&lt;&gt;"",#REF!="",#REF!="",AO79&lt;&gt;"",#REF!&lt;&gt;"",#REF!="",#REF!="",#REF!&lt;&gt;"",(IF((OR(#REF!="No Trans-Shipments",#REF!="")),(AND(#REF!="",#REF!="")),(IF(#REF!="1 Trans-Shipment",(AND(#REF!&lt;&gt;"",#REF!="")),(AND(#REF!&lt;&gt;"",#REF!&lt;&gt;"")))))),#REF!&lt;&gt;""),"Complete Bid","Incomplete Bid")))))</f>
        <v>#REF!</v>
      </c>
      <c r="AQ79" s="25" t="n">
        <f aca="false">(IF((F79="Door to Port"),(IF(AND(AC79="",AF79="",AG79="",AJ79="",AK79=99999,#REF!="",#REF!="",#REF!="",#REF!="",#REF!="",#REF!="",AN79="",#REF!="",#REF!="",#REF!="",AO79&lt;&gt;"",#REF!&lt;&gt;"",#REF!="",#REF!="",#REF!="",#REF!=""),"No Bid",IF(AND(AC79&lt;&gt;"",AF79&lt;&gt;"",AG79&lt;&gt;"",AJ79&lt;&gt;"",AK79=99999,#REF!&lt;&gt;"",#REF!&lt;&gt;"",#REF!&lt;&gt;"",#REF!&lt;&gt;"",#REF!&lt;&gt;"",#REF!&lt;&gt;"",AN79&lt;&gt;"",#REF!&lt;&gt;"",OR(#REF!="",#REF!&lt;&gt;""),#REF!&lt;&gt;"",AO79&lt;&gt;"",#REF!&lt;&gt;"",#REF!="",#REF!="",#REF!&lt;&gt;"",(IF((OR((#REF!="No Trans-Shipments"),(#REF!=""))),(AND(#REF!="",#REF!="")),(IF(#REF!="1 Trans-Shipment",(AND(#REF!&lt;&gt;"",#REF!="")),(AND(#REF!&lt;&gt;"",#REF!&lt;&gt;"")))))),#REF!&lt;&gt;""),"Complete Bid","Incomplete Bid")))))</f>
        <v>0</v>
      </c>
      <c r="AR79" s="25" t="n">
        <f aca="false">(IF((F79="Port to Door"),(IF(AND(AC79=99999,OR(AF79="",AF79=99999),AG79="",AJ79="",AK79="",#REF!="",#REF!="",#REF!="",#REF!="",#REF!="",#REF!="",AN79&lt;&gt;"",#REF!&lt;&gt;"",#REF!="",#REF!="",AO79="",#REF!="",#REF!="",#REF!="",#REF!="",#REF!=""),"No Bid",IF(AND(AC79=99999,OR(AF79&lt;&gt;"",AF79=99999),AG79&lt;&gt;"",AJ79&lt;&gt;"",AK79&lt;&gt;"",#REF!&lt;&gt;"",#REF!&lt;&gt;"",#REF!&lt;&gt;"",#REF!&lt;&gt;"",#REF!&lt;&gt;"",#REF!&lt;&gt;"",AN79&lt;&gt;"",#REF!&lt;&gt;"",#REF!="",#REF!="",AO79&lt;&gt;"",#REF!&lt;&gt;"",OR(#REF!&lt;&gt;"",#REF!=""),#REF!&lt;&gt;"",#REF!&lt;&gt;"",(IF((OR(#REF!="No Trans-Shipments",#REF!="")),(AND(#REF!="",#REF!="")),(IF(#REF!="1 Trans-Shipment",(AND(#REF!&lt;&gt;"",#REF!="")),(AND(#REF!&lt;&gt;"",#REF!&lt;&gt;"")))))),#REF!&lt;&gt;""),"Complete Bid","Incomplete Bid")))))</f>
        <v>0</v>
      </c>
      <c r="AS79" s="25" t="n">
        <f aca="false">(IF((F79="Door to Door"),(IF(AND(AC79="",AF79="",AG79="",AJ79="",AK79="",#REF!="",#REF!="",#REF!="",#REF!="",#REF!="",#REF!="",AN79="",#REF!="",#REF!="",#REF!="",AO79="",#REF!="",#REF!="",#REF!="",#REF!="",#REF!=""),"No Bid",IF(AND(AC79&lt;&gt;"",AF79&lt;&gt;"",AG79&lt;&gt;"",AJ79&lt;&gt;"",AK79&lt;&gt;"",#REF!&lt;&gt;"",#REF!&lt;&gt;"",#REF!&lt;&gt;"",#REF!&lt;&gt;"",#REF!&lt;&gt;"",#REF!&lt;&gt;"",AN79&lt;&gt;"",#REF!&lt;&gt;"",OR(#REF!&lt;&gt;"",#REF!=""),#REF!&lt;&gt;"",AO79&lt;&gt;"",#REF!&lt;&gt;"",OR(#REF!&lt;&gt;"",#REF!=""),#REF!&lt;&gt;"",#REF!&lt;&gt;"",(IF((OR(#REF!="No Trans-Shipments",#REF!="")),(AND(#REF!="",#REF!="")),(IF(#REF!="1 Trans-Shipment",(AND(#REF!&lt;&gt;"",#REF!="")),(AND(#REF!&lt;&gt;"",#REF!&lt;&gt;"")))))),#REF!&lt;&gt;""),"Complete Bid","Incomplete Bid")))))</f>
        <v>0</v>
      </c>
    </row>
    <row r="80" customFormat="false" ht="12.75" hidden="false" customHeight="true" outlineLevel="0" collapsed="false">
      <c r="A80" s="2" t="s">
        <v>56</v>
      </c>
      <c r="B80" s="23" t="s">
        <v>395</v>
      </c>
      <c r="C80" s="3" t="s">
        <v>58</v>
      </c>
      <c r="D80" s="3" t="s">
        <v>396</v>
      </c>
      <c r="E80" s="3" t="s">
        <v>120</v>
      </c>
      <c r="F80" s="3" t="s">
        <v>61</v>
      </c>
      <c r="G80" s="3" t="s">
        <v>393</v>
      </c>
      <c r="H80" s="3" t="s">
        <v>58</v>
      </c>
      <c r="I80" s="3" t="s">
        <v>162</v>
      </c>
      <c r="J80" s="3" t="s">
        <v>385</v>
      </c>
      <c r="K80" s="3" t="s">
        <v>58</v>
      </c>
      <c r="L80" s="3" t="s">
        <v>121</v>
      </c>
      <c r="M80" s="3" t="s">
        <v>122</v>
      </c>
      <c r="N80" s="3" t="s">
        <v>80</v>
      </c>
      <c r="O80" s="3" t="s">
        <v>169</v>
      </c>
      <c r="P80" s="3" t="s">
        <v>68</v>
      </c>
      <c r="Q80" s="3"/>
      <c r="R80" s="3" t="s">
        <v>386</v>
      </c>
      <c r="S80" s="3"/>
      <c r="T80" s="3" t="s">
        <v>394</v>
      </c>
      <c r="U80" s="3"/>
      <c r="V80" s="4" t="n">
        <v>5</v>
      </c>
      <c r="W80" s="4" t="s">
        <v>397</v>
      </c>
      <c r="X80" s="4" t="n">
        <v>7</v>
      </c>
      <c r="Y80" s="4" t="n">
        <v>10</v>
      </c>
      <c r="Z80" s="4" t="n">
        <v>14</v>
      </c>
      <c r="AA80" s="4" t="n">
        <v>3</v>
      </c>
      <c r="AB80" s="4" t="n">
        <v>80</v>
      </c>
      <c r="AC80" s="5" t="n">
        <v>99999</v>
      </c>
      <c r="AD80" s="3" t="s">
        <v>165</v>
      </c>
      <c r="AE80" s="6" t="n">
        <v>22841.4983333333</v>
      </c>
      <c r="AF80" s="5" t="n">
        <v>145</v>
      </c>
      <c r="AG80" s="5" t="n">
        <v>1298</v>
      </c>
      <c r="AH80" s="3" t="s">
        <v>127</v>
      </c>
      <c r="AI80" s="6" t="n">
        <v>33.7258754167</v>
      </c>
      <c r="AJ80" s="7"/>
      <c r="AK80" s="5" t="n">
        <v>99999</v>
      </c>
      <c r="AL80" s="4" t="n">
        <f aca="false">(IF(AC80=99999,0,AC80))+((IF(AF80=99999,0,AF80))/AE80)+AG80+(AJ80/AI80)+(IF(AK80=99999,0,AK80))</f>
        <v>1298.00634809494</v>
      </c>
      <c r="AM80" s="4" t="n">
        <f aca="false">AL80+AB80</f>
        <v>1378.00634809494</v>
      </c>
      <c r="AN80" s="8" t="s">
        <v>385</v>
      </c>
      <c r="AO80" s="8" t="s">
        <v>122</v>
      </c>
      <c r="AP80" s="24" t="e">
        <f aca="false">(IF((F80="Port to Port"),(IF(AND(AC80=99999,OR(AF80="",AF80=99999),AG80="",AJ80="",AK80=99999,#REF!="",#REF!="",#REF!="",#REF!="",#REF!="",#REF!="",AN80&lt;&gt;"",#REF!&lt;&gt;"",#REF!="",#REF!="",AO80&lt;&gt;"",#REF!&lt;&gt;"",#REF!="",#REF!="",#REF!="",#REF!=""),"No Bid",IF(AND(AC80=99999,OR(AF80&lt;&gt;"",AF80=99999),AG80&lt;&gt;"",AJ80&lt;&gt;"",AK80=99999,#REF!&lt;&gt;"",#REF!&lt;&gt;"",#REF!&lt;&gt;"",#REF!&lt;&gt;"",#REF!&lt;&gt;"",#REF!&lt;&gt;"",AN80&lt;&gt;"",#REF!&lt;&gt;"",#REF!="",#REF!="",AO80&lt;&gt;"",#REF!&lt;&gt;"",#REF!="",#REF!="",#REF!&lt;&gt;"",(IF((OR(#REF!="No Trans-Shipments",#REF!="")),(AND(#REF!="",#REF!="")),(IF(#REF!="1 Trans-Shipment",(AND(#REF!&lt;&gt;"",#REF!="")),(AND(#REF!&lt;&gt;"",#REF!&lt;&gt;"")))))),#REF!&lt;&gt;""),"Complete Bid","Incomplete Bid")))))</f>
        <v>#REF!</v>
      </c>
      <c r="AQ80" s="25" t="n">
        <f aca="false">(IF((F80="Door to Port"),(IF(AND(AC80="",AF80="",AG80="",AJ80="",AK80=99999,#REF!="",#REF!="",#REF!="",#REF!="",#REF!="",#REF!="",AN80="",#REF!="",#REF!="",#REF!="",AO80&lt;&gt;"",#REF!&lt;&gt;"",#REF!="",#REF!="",#REF!="",#REF!=""),"No Bid",IF(AND(AC80&lt;&gt;"",AF80&lt;&gt;"",AG80&lt;&gt;"",AJ80&lt;&gt;"",AK80=99999,#REF!&lt;&gt;"",#REF!&lt;&gt;"",#REF!&lt;&gt;"",#REF!&lt;&gt;"",#REF!&lt;&gt;"",#REF!&lt;&gt;"",AN80&lt;&gt;"",#REF!&lt;&gt;"",OR(#REF!="",#REF!&lt;&gt;""),#REF!&lt;&gt;"",AO80&lt;&gt;"",#REF!&lt;&gt;"",#REF!="",#REF!="",#REF!&lt;&gt;"",(IF((OR((#REF!="No Trans-Shipments"),(#REF!=""))),(AND(#REF!="",#REF!="")),(IF(#REF!="1 Trans-Shipment",(AND(#REF!&lt;&gt;"",#REF!="")),(AND(#REF!&lt;&gt;"",#REF!&lt;&gt;"")))))),#REF!&lt;&gt;""),"Complete Bid","Incomplete Bid")))))</f>
        <v>0</v>
      </c>
      <c r="AR80" s="25" t="n">
        <f aca="false">(IF((F80="Port to Door"),(IF(AND(AC80=99999,OR(AF80="",AF80=99999),AG80="",AJ80="",AK80="",#REF!="",#REF!="",#REF!="",#REF!="",#REF!="",#REF!="",AN80&lt;&gt;"",#REF!&lt;&gt;"",#REF!="",#REF!="",AO80="",#REF!="",#REF!="",#REF!="",#REF!="",#REF!=""),"No Bid",IF(AND(AC80=99999,OR(AF80&lt;&gt;"",AF80=99999),AG80&lt;&gt;"",AJ80&lt;&gt;"",AK80&lt;&gt;"",#REF!&lt;&gt;"",#REF!&lt;&gt;"",#REF!&lt;&gt;"",#REF!&lt;&gt;"",#REF!&lt;&gt;"",#REF!&lt;&gt;"",AN80&lt;&gt;"",#REF!&lt;&gt;"",#REF!="",#REF!="",AO80&lt;&gt;"",#REF!&lt;&gt;"",OR(#REF!&lt;&gt;"",#REF!=""),#REF!&lt;&gt;"",#REF!&lt;&gt;"",(IF((OR(#REF!="No Trans-Shipments",#REF!="")),(AND(#REF!="",#REF!="")),(IF(#REF!="1 Trans-Shipment",(AND(#REF!&lt;&gt;"",#REF!="")),(AND(#REF!&lt;&gt;"",#REF!&lt;&gt;"")))))),#REF!&lt;&gt;""),"Complete Bid","Incomplete Bid")))))</f>
        <v>0</v>
      </c>
      <c r="AS80" s="25" t="n">
        <f aca="false">(IF((F80="Door to Door"),(IF(AND(AC80="",AF80="",AG80="",AJ80="",AK80="",#REF!="",#REF!="",#REF!="",#REF!="",#REF!="",#REF!="",AN80="",#REF!="",#REF!="",#REF!="",AO80="",#REF!="",#REF!="",#REF!="",#REF!="",#REF!=""),"No Bid",IF(AND(AC80&lt;&gt;"",AF80&lt;&gt;"",AG80&lt;&gt;"",AJ80&lt;&gt;"",AK80&lt;&gt;"",#REF!&lt;&gt;"",#REF!&lt;&gt;"",#REF!&lt;&gt;"",#REF!&lt;&gt;"",#REF!&lt;&gt;"",#REF!&lt;&gt;"",AN80&lt;&gt;"",#REF!&lt;&gt;"",OR(#REF!&lt;&gt;"",#REF!=""),#REF!&lt;&gt;"",AO80&lt;&gt;"",#REF!&lt;&gt;"",OR(#REF!&lt;&gt;"",#REF!=""),#REF!&lt;&gt;"",#REF!&lt;&gt;"",(IF((OR(#REF!="No Trans-Shipments",#REF!="")),(AND(#REF!="",#REF!="")),(IF(#REF!="1 Trans-Shipment",(AND(#REF!&lt;&gt;"",#REF!="")),(AND(#REF!&lt;&gt;"",#REF!&lt;&gt;"")))))),#REF!&lt;&gt;""),"Complete Bid","Incomplete Bid")))))</f>
        <v>0</v>
      </c>
    </row>
    <row r="81" customFormat="false" ht="12.75" hidden="false" customHeight="true" outlineLevel="0" collapsed="false">
      <c r="A81" s="2" t="s">
        <v>56</v>
      </c>
      <c r="B81" s="23" t="s">
        <v>398</v>
      </c>
      <c r="C81" s="3" t="s">
        <v>58</v>
      </c>
      <c r="D81" s="3" t="s">
        <v>399</v>
      </c>
      <c r="E81" s="3" t="s">
        <v>120</v>
      </c>
      <c r="F81" s="3" t="s">
        <v>61</v>
      </c>
      <c r="G81" s="3" t="s">
        <v>62</v>
      </c>
      <c r="H81" s="3" t="s">
        <v>58</v>
      </c>
      <c r="I81" s="3" t="s">
        <v>162</v>
      </c>
      <c r="J81" s="3" t="s">
        <v>385</v>
      </c>
      <c r="K81" s="3" t="s">
        <v>58</v>
      </c>
      <c r="L81" s="3" t="s">
        <v>123</v>
      </c>
      <c r="M81" s="3" t="s">
        <v>124</v>
      </c>
      <c r="N81" s="3" t="s">
        <v>66</v>
      </c>
      <c r="O81" s="3"/>
      <c r="P81" s="3" t="s">
        <v>68</v>
      </c>
      <c r="Q81" s="3"/>
      <c r="R81" s="3" t="s">
        <v>400</v>
      </c>
      <c r="S81" s="3"/>
      <c r="T81" s="3" t="s">
        <v>126</v>
      </c>
      <c r="U81" s="3"/>
      <c r="V81" s="4" t="n">
        <v>0</v>
      </c>
      <c r="W81" s="4"/>
      <c r="X81" s="4" t="n">
        <v>7</v>
      </c>
      <c r="Y81" s="4" t="n">
        <v>10</v>
      </c>
      <c r="Z81" s="4" t="n">
        <v>14</v>
      </c>
      <c r="AA81" s="4" t="n">
        <v>7</v>
      </c>
      <c r="AB81" s="4" t="n">
        <v>40</v>
      </c>
      <c r="AC81" s="5" t="n">
        <v>99999</v>
      </c>
      <c r="AD81" s="3" t="s">
        <v>165</v>
      </c>
      <c r="AE81" s="6" t="n">
        <v>22841.4983333333</v>
      </c>
      <c r="AF81" s="5" t="n">
        <v>146</v>
      </c>
      <c r="AG81" s="5" t="n">
        <v>1299</v>
      </c>
      <c r="AH81" s="3" t="s">
        <v>128</v>
      </c>
      <c r="AI81" s="6" t="n">
        <v>1177.1217125</v>
      </c>
      <c r="AJ81" s="7"/>
      <c r="AK81" s="5" t="n">
        <v>99999</v>
      </c>
      <c r="AL81" s="4" t="n">
        <f aca="false">(IF(AC81=99999,0,AC81))+((IF(AF81=99999,0,AF81))/AE81)+AG81+(AJ81/AI81)+(IF(AK81=99999,0,AK81))</f>
        <v>1299.00639187491</v>
      </c>
      <c r="AM81" s="4" t="n">
        <f aca="false">AL81+AB81</f>
        <v>1339.00639187491</v>
      </c>
      <c r="AN81" s="8" t="s">
        <v>385</v>
      </c>
      <c r="AO81" s="8" t="s">
        <v>124</v>
      </c>
      <c r="AP81" s="24" t="e">
        <f aca="false">(IF((F81="Port to Port"),(IF(AND(AC81=99999,OR(AF81="",AF81=99999),AG81="",AJ81="",AK81=99999,#REF!="",#REF!="",#REF!="",#REF!="",#REF!="",#REF!="",AN81&lt;&gt;"",#REF!&lt;&gt;"",#REF!="",#REF!="",AO81&lt;&gt;"",#REF!&lt;&gt;"",#REF!="",#REF!="",#REF!="",#REF!=""),"No Bid",IF(AND(AC81=99999,OR(AF81&lt;&gt;"",AF81=99999),AG81&lt;&gt;"",AJ81&lt;&gt;"",AK81=99999,#REF!&lt;&gt;"",#REF!&lt;&gt;"",#REF!&lt;&gt;"",#REF!&lt;&gt;"",#REF!&lt;&gt;"",#REF!&lt;&gt;"",AN81&lt;&gt;"",#REF!&lt;&gt;"",#REF!="",#REF!="",AO81&lt;&gt;"",#REF!&lt;&gt;"",#REF!="",#REF!="",#REF!&lt;&gt;"",(IF((OR(#REF!="No Trans-Shipments",#REF!="")),(AND(#REF!="",#REF!="")),(IF(#REF!="1 Trans-Shipment",(AND(#REF!&lt;&gt;"",#REF!="")),(AND(#REF!&lt;&gt;"",#REF!&lt;&gt;"")))))),#REF!&lt;&gt;""),"Complete Bid","Incomplete Bid")))))</f>
        <v>#REF!</v>
      </c>
      <c r="AQ81" s="25" t="n">
        <f aca="false">(IF((F81="Door to Port"),(IF(AND(AC81="",AF81="",AG81="",AJ81="",AK81=99999,#REF!="",#REF!="",#REF!="",#REF!="",#REF!="",#REF!="",AN81="",#REF!="",#REF!="",#REF!="",AO81&lt;&gt;"",#REF!&lt;&gt;"",#REF!="",#REF!="",#REF!="",#REF!=""),"No Bid",IF(AND(AC81&lt;&gt;"",AF81&lt;&gt;"",AG81&lt;&gt;"",AJ81&lt;&gt;"",AK81=99999,#REF!&lt;&gt;"",#REF!&lt;&gt;"",#REF!&lt;&gt;"",#REF!&lt;&gt;"",#REF!&lt;&gt;"",#REF!&lt;&gt;"",AN81&lt;&gt;"",#REF!&lt;&gt;"",OR(#REF!="",#REF!&lt;&gt;""),#REF!&lt;&gt;"",AO81&lt;&gt;"",#REF!&lt;&gt;"",#REF!="",#REF!="",#REF!&lt;&gt;"",(IF((OR((#REF!="No Trans-Shipments"),(#REF!=""))),(AND(#REF!="",#REF!="")),(IF(#REF!="1 Trans-Shipment",(AND(#REF!&lt;&gt;"",#REF!="")),(AND(#REF!&lt;&gt;"",#REF!&lt;&gt;"")))))),#REF!&lt;&gt;""),"Complete Bid","Incomplete Bid")))))</f>
        <v>0</v>
      </c>
      <c r="AR81" s="25" t="n">
        <f aca="false">(IF((F81="Port to Door"),(IF(AND(AC81=99999,OR(AF81="",AF81=99999),AG81="",AJ81="",AK81="",#REF!="",#REF!="",#REF!="",#REF!="",#REF!="",#REF!="",AN81&lt;&gt;"",#REF!&lt;&gt;"",#REF!="",#REF!="",AO81="",#REF!="",#REF!="",#REF!="",#REF!="",#REF!=""),"No Bid",IF(AND(AC81=99999,OR(AF81&lt;&gt;"",AF81=99999),AG81&lt;&gt;"",AJ81&lt;&gt;"",AK81&lt;&gt;"",#REF!&lt;&gt;"",#REF!&lt;&gt;"",#REF!&lt;&gt;"",#REF!&lt;&gt;"",#REF!&lt;&gt;"",#REF!&lt;&gt;"",AN81&lt;&gt;"",#REF!&lt;&gt;"",#REF!="",#REF!="",AO81&lt;&gt;"",#REF!&lt;&gt;"",OR(#REF!&lt;&gt;"",#REF!=""),#REF!&lt;&gt;"",#REF!&lt;&gt;"",(IF((OR(#REF!="No Trans-Shipments",#REF!="")),(AND(#REF!="",#REF!="")),(IF(#REF!="1 Trans-Shipment",(AND(#REF!&lt;&gt;"",#REF!="")),(AND(#REF!&lt;&gt;"",#REF!&lt;&gt;"")))))),#REF!&lt;&gt;""),"Complete Bid","Incomplete Bid")))))</f>
        <v>0</v>
      </c>
      <c r="AS81" s="25" t="n">
        <f aca="false">(IF((F81="Door to Door"),(IF(AND(AC81="",AF81="",AG81="",AJ81="",AK81="",#REF!="",#REF!="",#REF!="",#REF!="",#REF!="",#REF!="",AN81="",#REF!="",#REF!="",#REF!="",AO81="",#REF!="",#REF!="",#REF!="",#REF!="",#REF!=""),"No Bid",IF(AND(AC81&lt;&gt;"",AF81&lt;&gt;"",AG81&lt;&gt;"",AJ81&lt;&gt;"",AK81&lt;&gt;"",#REF!&lt;&gt;"",#REF!&lt;&gt;"",#REF!&lt;&gt;"",#REF!&lt;&gt;"",#REF!&lt;&gt;"",#REF!&lt;&gt;"",AN81&lt;&gt;"",#REF!&lt;&gt;"",OR(#REF!&lt;&gt;"",#REF!=""),#REF!&lt;&gt;"",AO81&lt;&gt;"",#REF!&lt;&gt;"",OR(#REF!&lt;&gt;"",#REF!=""),#REF!&lt;&gt;"",#REF!&lt;&gt;"",(IF((OR(#REF!="No Trans-Shipments",#REF!="")),(AND(#REF!="",#REF!="")),(IF(#REF!="1 Trans-Shipment",(AND(#REF!&lt;&gt;"",#REF!="")),(AND(#REF!&lt;&gt;"",#REF!&lt;&gt;"")))))),#REF!&lt;&gt;""),"Complete Bid","Incomplete Bid")))))</f>
        <v>0</v>
      </c>
    </row>
    <row r="82" customFormat="false" ht="12.75" hidden="false" customHeight="true" outlineLevel="0" collapsed="false">
      <c r="A82" s="2" t="s">
        <v>56</v>
      </c>
      <c r="B82" s="23" t="s">
        <v>401</v>
      </c>
      <c r="C82" s="3" t="s">
        <v>58</v>
      </c>
      <c r="D82" s="3" t="s">
        <v>402</v>
      </c>
      <c r="E82" s="3" t="s">
        <v>120</v>
      </c>
      <c r="F82" s="3" t="s">
        <v>61</v>
      </c>
      <c r="G82" s="3" t="s">
        <v>62</v>
      </c>
      <c r="H82" s="3" t="s">
        <v>58</v>
      </c>
      <c r="I82" s="3" t="s">
        <v>162</v>
      </c>
      <c r="J82" s="3" t="s">
        <v>385</v>
      </c>
      <c r="K82" s="3" t="s">
        <v>58</v>
      </c>
      <c r="L82" s="3" t="s">
        <v>123</v>
      </c>
      <c r="M82" s="3" t="s">
        <v>124</v>
      </c>
      <c r="N82" s="3" t="s">
        <v>80</v>
      </c>
      <c r="O82" s="3"/>
      <c r="P82" s="3" t="s">
        <v>68</v>
      </c>
      <c r="Q82" s="3"/>
      <c r="R82" s="3" t="s">
        <v>400</v>
      </c>
      <c r="S82" s="3"/>
      <c r="T82" s="3" t="s">
        <v>126</v>
      </c>
      <c r="U82" s="3"/>
      <c r="V82" s="4" t="n">
        <v>285</v>
      </c>
      <c r="W82" s="4" t="s">
        <v>403</v>
      </c>
      <c r="X82" s="4" t="n">
        <v>7</v>
      </c>
      <c r="Y82" s="4" t="n">
        <v>10</v>
      </c>
      <c r="Z82" s="4" t="n">
        <v>14</v>
      </c>
      <c r="AA82" s="4" t="n">
        <v>7</v>
      </c>
      <c r="AB82" s="4" t="n">
        <v>80</v>
      </c>
      <c r="AC82" s="5" t="n">
        <v>99999</v>
      </c>
      <c r="AD82" s="3" t="s">
        <v>165</v>
      </c>
      <c r="AE82" s="6" t="n">
        <v>22841.4983333333</v>
      </c>
      <c r="AF82" s="5" t="n">
        <v>147</v>
      </c>
      <c r="AG82" s="5" t="n">
        <v>1300</v>
      </c>
      <c r="AH82" s="3" t="s">
        <v>128</v>
      </c>
      <c r="AI82" s="6" t="n">
        <v>1177.1217125</v>
      </c>
      <c r="AJ82" s="7"/>
      <c r="AK82" s="5" t="n">
        <v>99999</v>
      </c>
      <c r="AL82" s="4" t="n">
        <f aca="false">(IF(AC82=99999,0,AC82))+((IF(AF82=99999,0,AF82))/AE82)+AG82+(AJ82/AI82)+(IF(AK82=99999,0,AK82))</f>
        <v>1300.00643565487</v>
      </c>
      <c r="AM82" s="4" t="n">
        <f aca="false">AL82+AB82</f>
        <v>1380.00643565487</v>
      </c>
      <c r="AN82" s="8" t="s">
        <v>385</v>
      </c>
      <c r="AO82" s="8" t="s">
        <v>124</v>
      </c>
      <c r="AP82" s="24" t="e">
        <f aca="false">(IF((F82="Port to Port"),(IF(AND(AC82=99999,OR(AF82="",AF82=99999),AG82="",AJ82="",AK82=99999,#REF!="",#REF!="",#REF!="",#REF!="",#REF!="",#REF!="",AN82&lt;&gt;"",#REF!&lt;&gt;"",#REF!="",#REF!="",AO82&lt;&gt;"",#REF!&lt;&gt;"",#REF!="",#REF!="",#REF!="",#REF!=""),"No Bid",IF(AND(AC82=99999,OR(AF82&lt;&gt;"",AF82=99999),AG82&lt;&gt;"",AJ82&lt;&gt;"",AK82=99999,#REF!&lt;&gt;"",#REF!&lt;&gt;"",#REF!&lt;&gt;"",#REF!&lt;&gt;"",#REF!&lt;&gt;"",#REF!&lt;&gt;"",AN82&lt;&gt;"",#REF!&lt;&gt;"",#REF!="",#REF!="",AO82&lt;&gt;"",#REF!&lt;&gt;"",#REF!="",#REF!="",#REF!&lt;&gt;"",(IF((OR(#REF!="No Trans-Shipments",#REF!="")),(AND(#REF!="",#REF!="")),(IF(#REF!="1 Trans-Shipment",(AND(#REF!&lt;&gt;"",#REF!="")),(AND(#REF!&lt;&gt;"",#REF!&lt;&gt;"")))))),#REF!&lt;&gt;""),"Complete Bid","Incomplete Bid")))))</f>
        <v>#REF!</v>
      </c>
      <c r="AQ82" s="25" t="n">
        <f aca="false">(IF((F82="Door to Port"),(IF(AND(AC82="",AF82="",AG82="",AJ82="",AK82=99999,#REF!="",#REF!="",#REF!="",#REF!="",#REF!="",#REF!="",AN82="",#REF!="",#REF!="",#REF!="",AO82&lt;&gt;"",#REF!&lt;&gt;"",#REF!="",#REF!="",#REF!="",#REF!=""),"No Bid",IF(AND(AC82&lt;&gt;"",AF82&lt;&gt;"",AG82&lt;&gt;"",AJ82&lt;&gt;"",AK82=99999,#REF!&lt;&gt;"",#REF!&lt;&gt;"",#REF!&lt;&gt;"",#REF!&lt;&gt;"",#REF!&lt;&gt;"",#REF!&lt;&gt;"",AN82&lt;&gt;"",#REF!&lt;&gt;"",OR(#REF!="",#REF!&lt;&gt;""),#REF!&lt;&gt;"",AO82&lt;&gt;"",#REF!&lt;&gt;"",#REF!="",#REF!="",#REF!&lt;&gt;"",(IF((OR((#REF!="No Trans-Shipments"),(#REF!=""))),(AND(#REF!="",#REF!="")),(IF(#REF!="1 Trans-Shipment",(AND(#REF!&lt;&gt;"",#REF!="")),(AND(#REF!&lt;&gt;"",#REF!&lt;&gt;"")))))),#REF!&lt;&gt;""),"Complete Bid","Incomplete Bid")))))</f>
        <v>0</v>
      </c>
      <c r="AR82" s="25" t="n">
        <f aca="false">(IF((F82="Port to Door"),(IF(AND(AC82=99999,OR(AF82="",AF82=99999),AG82="",AJ82="",AK82="",#REF!="",#REF!="",#REF!="",#REF!="",#REF!="",#REF!="",AN82&lt;&gt;"",#REF!&lt;&gt;"",#REF!="",#REF!="",AO82="",#REF!="",#REF!="",#REF!="",#REF!="",#REF!=""),"No Bid",IF(AND(AC82=99999,OR(AF82&lt;&gt;"",AF82=99999),AG82&lt;&gt;"",AJ82&lt;&gt;"",AK82&lt;&gt;"",#REF!&lt;&gt;"",#REF!&lt;&gt;"",#REF!&lt;&gt;"",#REF!&lt;&gt;"",#REF!&lt;&gt;"",#REF!&lt;&gt;"",AN82&lt;&gt;"",#REF!&lt;&gt;"",#REF!="",#REF!="",AO82&lt;&gt;"",#REF!&lt;&gt;"",OR(#REF!&lt;&gt;"",#REF!=""),#REF!&lt;&gt;"",#REF!&lt;&gt;"",(IF((OR(#REF!="No Trans-Shipments",#REF!="")),(AND(#REF!="",#REF!="")),(IF(#REF!="1 Trans-Shipment",(AND(#REF!&lt;&gt;"",#REF!="")),(AND(#REF!&lt;&gt;"",#REF!&lt;&gt;"")))))),#REF!&lt;&gt;""),"Complete Bid","Incomplete Bid")))))</f>
        <v>0</v>
      </c>
      <c r="AS82" s="25" t="n">
        <f aca="false">(IF((F82="Door to Door"),(IF(AND(AC82="",AF82="",AG82="",AJ82="",AK82="",#REF!="",#REF!="",#REF!="",#REF!="",#REF!="",#REF!="",AN82="",#REF!="",#REF!="",#REF!="",AO82="",#REF!="",#REF!="",#REF!="",#REF!="",#REF!=""),"No Bid",IF(AND(AC82&lt;&gt;"",AF82&lt;&gt;"",AG82&lt;&gt;"",AJ82&lt;&gt;"",AK82&lt;&gt;"",#REF!&lt;&gt;"",#REF!&lt;&gt;"",#REF!&lt;&gt;"",#REF!&lt;&gt;"",#REF!&lt;&gt;"",#REF!&lt;&gt;"",AN82&lt;&gt;"",#REF!&lt;&gt;"",OR(#REF!&lt;&gt;"",#REF!=""),#REF!&lt;&gt;"",AO82&lt;&gt;"",#REF!&lt;&gt;"",OR(#REF!&lt;&gt;"",#REF!=""),#REF!&lt;&gt;"",#REF!&lt;&gt;"",(IF((OR(#REF!="No Trans-Shipments",#REF!="")),(AND(#REF!="",#REF!="")),(IF(#REF!="1 Trans-Shipment",(AND(#REF!&lt;&gt;"",#REF!="")),(AND(#REF!&lt;&gt;"",#REF!&lt;&gt;"")))))),#REF!&lt;&gt;""),"Complete Bid","Incomplete Bid")))))</f>
        <v>0</v>
      </c>
    </row>
    <row r="83" customFormat="false" ht="12.75" hidden="false" customHeight="true" outlineLevel="0" collapsed="false">
      <c r="A83" s="2" t="s">
        <v>56</v>
      </c>
      <c r="B83" s="23" t="s">
        <v>404</v>
      </c>
      <c r="C83" s="3" t="s">
        <v>58</v>
      </c>
      <c r="D83" s="3" t="s">
        <v>405</v>
      </c>
      <c r="E83" s="3" t="s">
        <v>120</v>
      </c>
      <c r="F83" s="3" t="s">
        <v>61</v>
      </c>
      <c r="G83" s="3" t="s">
        <v>62</v>
      </c>
      <c r="H83" s="3" t="s">
        <v>58</v>
      </c>
      <c r="I83" s="3" t="s">
        <v>162</v>
      </c>
      <c r="J83" s="3" t="s">
        <v>385</v>
      </c>
      <c r="K83" s="3" t="s">
        <v>58</v>
      </c>
      <c r="L83" s="3" t="s">
        <v>65</v>
      </c>
      <c r="M83" s="3" t="s">
        <v>65</v>
      </c>
      <c r="N83" s="3" t="s">
        <v>66</v>
      </c>
      <c r="O83" s="3" t="s">
        <v>406</v>
      </c>
      <c r="P83" s="3" t="s">
        <v>68</v>
      </c>
      <c r="Q83" s="3"/>
      <c r="R83" s="3" t="s">
        <v>386</v>
      </c>
      <c r="S83" s="3"/>
      <c r="T83" s="3" t="s">
        <v>70</v>
      </c>
      <c r="U83" s="3"/>
      <c r="V83" s="4" t="n">
        <v>35</v>
      </c>
      <c r="W83" s="4"/>
      <c r="X83" s="4" t="n">
        <v>7</v>
      </c>
      <c r="Y83" s="4" t="n">
        <v>10</v>
      </c>
      <c r="Z83" s="4" t="n">
        <v>14</v>
      </c>
      <c r="AA83" s="4" t="n">
        <v>7</v>
      </c>
      <c r="AB83" s="4" t="n">
        <v>40</v>
      </c>
      <c r="AC83" s="5" t="n">
        <v>99999</v>
      </c>
      <c r="AD83" s="3" t="s">
        <v>165</v>
      </c>
      <c r="AE83" s="6" t="n">
        <v>22841.4983333333</v>
      </c>
      <c r="AF83" s="5" t="n">
        <v>148</v>
      </c>
      <c r="AG83" s="5" t="n">
        <v>1301</v>
      </c>
      <c r="AH83" s="3" t="s">
        <v>77</v>
      </c>
      <c r="AI83" s="6" t="n">
        <v>7.7922162083</v>
      </c>
      <c r="AJ83" s="7"/>
      <c r="AK83" s="5" t="n">
        <v>99999</v>
      </c>
      <c r="AL83" s="4" t="n">
        <f aca="false">(IF(AC83=99999,0,AC83))+((IF(AF83=99999,0,AF83))/AE83)+AG83+(AJ83/AI83)+(IF(AK83=99999,0,AK83))</f>
        <v>1301.00647943484</v>
      </c>
      <c r="AM83" s="4" t="n">
        <f aca="false">AL83+AB83</f>
        <v>1341.00647943484</v>
      </c>
      <c r="AN83" s="8" t="s">
        <v>385</v>
      </c>
      <c r="AO83" s="8" t="s">
        <v>65</v>
      </c>
      <c r="AP83" s="24" t="e">
        <f aca="false">(IF((F83="Port to Port"),(IF(AND(AC83=99999,OR(AF83="",AF83=99999),AG83="",AJ83="",AK83=99999,#REF!="",#REF!="",#REF!="",#REF!="",#REF!="",#REF!="",AN83&lt;&gt;"",#REF!&lt;&gt;"",#REF!="",#REF!="",AO83&lt;&gt;"",#REF!&lt;&gt;"",#REF!="",#REF!="",#REF!="",#REF!=""),"No Bid",IF(AND(AC83=99999,OR(AF83&lt;&gt;"",AF83=99999),AG83&lt;&gt;"",AJ83&lt;&gt;"",AK83=99999,#REF!&lt;&gt;"",#REF!&lt;&gt;"",#REF!&lt;&gt;"",#REF!&lt;&gt;"",#REF!&lt;&gt;"",#REF!&lt;&gt;"",AN83&lt;&gt;"",#REF!&lt;&gt;"",#REF!="",#REF!="",AO83&lt;&gt;"",#REF!&lt;&gt;"",#REF!="",#REF!="",#REF!&lt;&gt;"",(IF((OR(#REF!="No Trans-Shipments",#REF!="")),(AND(#REF!="",#REF!="")),(IF(#REF!="1 Trans-Shipment",(AND(#REF!&lt;&gt;"",#REF!="")),(AND(#REF!&lt;&gt;"",#REF!&lt;&gt;"")))))),#REF!&lt;&gt;""),"Complete Bid","Incomplete Bid")))))</f>
        <v>#REF!</v>
      </c>
      <c r="AQ83" s="25" t="n">
        <f aca="false">(IF((F83="Door to Port"),(IF(AND(AC83="",AF83="",AG83="",AJ83="",AK83=99999,#REF!="",#REF!="",#REF!="",#REF!="",#REF!="",#REF!="",AN83="",#REF!="",#REF!="",#REF!="",AO83&lt;&gt;"",#REF!&lt;&gt;"",#REF!="",#REF!="",#REF!="",#REF!=""),"No Bid",IF(AND(AC83&lt;&gt;"",AF83&lt;&gt;"",AG83&lt;&gt;"",AJ83&lt;&gt;"",AK83=99999,#REF!&lt;&gt;"",#REF!&lt;&gt;"",#REF!&lt;&gt;"",#REF!&lt;&gt;"",#REF!&lt;&gt;"",#REF!&lt;&gt;"",AN83&lt;&gt;"",#REF!&lt;&gt;"",OR(#REF!="",#REF!&lt;&gt;""),#REF!&lt;&gt;"",AO83&lt;&gt;"",#REF!&lt;&gt;"",#REF!="",#REF!="",#REF!&lt;&gt;"",(IF((OR((#REF!="No Trans-Shipments"),(#REF!=""))),(AND(#REF!="",#REF!="")),(IF(#REF!="1 Trans-Shipment",(AND(#REF!&lt;&gt;"",#REF!="")),(AND(#REF!&lt;&gt;"",#REF!&lt;&gt;"")))))),#REF!&lt;&gt;""),"Complete Bid","Incomplete Bid")))))</f>
        <v>0</v>
      </c>
      <c r="AR83" s="25" t="n">
        <f aca="false">(IF((F83="Port to Door"),(IF(AND(AC83=99999,OR(AF83="",AF83=99999),AG83="",AJ83="",AK83="",#REF!="",#REF!="",#REF!="",#REF!="",#REF!="",#REF!="",AN83&lt;&gt;"",#REF!&lt;&gt;"",#REF!="",#REF!="",AO83="",#REF!="",#REF!="",#REF!="",#REF!="",#REF!=""),"No Bid",IF(AND(AC83=99999,OR(AF83&lt;&gt;"",AF83=99999),AG83&lt;&gt;"",AJ83&lt;&gt;"",AK83&lt;&gt;"",#REF!&lt;&gt;"",#REF!&lt;&gt;"",#REF!&lt;&gt;"",#REF!&lt;&gt;"",#REF!&lt;&gt;"",#REF!&lt;&gt;"",AN83&lt;&gt;"",#REF!&lt;&gt;"",#REF!="",#REF!="",AO83&lt;&gt;"",#REF!&lt;&gt;"",OR(#REF!&lt;&gt;"",#REF!=""),#REF!&lt;&gt;"",#REF!&lt;&gt;"",(IF((OR(#REF!="No Trans-Shipments",#REF!="")),(AND(#REF!="",#REF!="")),(IF(#REF!="1 Trans-Shipment",(AND(#REF!&lt;&gt;"",#REF!="")),(AND(#REF!&lt;&gt;"",#REF!&lt;&gt;"")))))),#REF!&lt;&gt;""),"Complete Bid","Incomplete Bid")))))</f>
        <v>0</v>
      </c>
      <c r="AS83" s="25" t="n">
        <f aca="false">(IF((F83="Door to Door"),(IF(AND(AC83="",AF83="",AG83="",AJ83="",AK83="",#REF!="",#REF!="",#REF!="",#REF!="",#REF!="",#REF!="",AN83="",#REF!="",#REF!="",#REF!="",AO83="",#REF!="",#REF!="",#REF!="",#REF!="",#REF!=""),"No Bid",IF(AND(AC83&lt;&gt;"",AF83&lt;&gt;"",AG83&lt;&gt;"",AJ83&lt;&gt;"",AK83&lt;&gt;"",#REF!&lt;&gt;"",#REF!&lt;&gt;"",#REF!&lt;&gt;"",#REF!&lt;&gt;"",#REF!&lt;&gt;"",#REF!&lt;&gt;"",AN83&lt;&gt;"",#REF!&lt;&gt;"",OR(#REF!&lt;&gt;"",#REF!=""),#REF!&lt;&gt;"",AO83&lt;&gt;"",#REF!&lt;&gt;"",OR(#REF!&lt;&gt;"",#REF!=""),#REF!&lt;&gt;"",#REF!&lt;&gt;"",(IF((OR(#REF!="No Trans-Shipments",#REF!="")),(AND(#REF!="",#REF!="")),(IF(#REF!="1 Trans-Shipment",(AND(#REF!&lt;&gt;"",#REF!="")),(AND(#REF!&lt;&gt;"",#REF!&lt;&gt;"")))))),#REF!&lt;&gt;""),"Complete Bid","Incomplete Bid")))))</f>
        <v>0</v>
      </c>
    </row>
    <row r="84" customFormat="false" ht="12.75" hidden="false" customHeight="true" outlineLevel="0" collapsed="false">
      <c r="A84" s="2" t="s">
        <v>56</v>
      </c>
      <c r="B84" s="23" t="s">
        <v>407</v>
      </c>
      <c r="C84" s="3" t="s">
        <v>58</v>
      </c>
      <c r="D84" s="3" t="s">
        <v>408</v>
      </c>
      <c r="E84" s="3" t="s">
        <v>120</v>
      </c>
      <c r="F84" s="3" t="s">
        <v>61</v>
      </c>
      <c r="G84" s="3" t="s">
        <v>62</v>
      </c>
      <c r="H84" s="3" t="s">
        <v>58</v>
      </c>
      <c r="I84" s="3" t="s">
        <v>162</v>
      </c>
      <c r="J84" s="3" t="s">
        <v>385</v>
      </c>
      <c r="K84" s="3" t="s">
        <v>58</v>
      </c>
      <c r="L84" s="3" t="s">
        <v>65</v>
      </c>
      <c r="M84" s="3" t="s">
        <v>65</v>
      </c>
      <c r="N84" s="3" t="s">
        <v>80</v>
      </c>
      <c r="O84" s="3" t="s">
        <v>406</v>
      </c>
      <c r="P84" s="3" t="s">
        <v>68</v>
      </c>
      <c r="Q84" s="3"/>
      <c r="R84" s="3" t="s">
        <v>386</v>
      </c>
      <c r="S84" s="3"/>
      <c r="T84" s="3" t="s">
        <v>70</v>
      </c>
      <c r="U84" s="3"/>
      <c r="V84" s="4" t="n">
        <v>97</v>
      </c>
      <c r="W84" s="4" t="s">
        <v>409</v>
      </c>
      <c r="X84" s="4" t="n">
        <v>7</v>
      </c>
      <c r="Y84" s="4" t="n">
        <v>10</v>
      </c>
      <c r="Z84" s="4" t="n">
        <v>14</v>
      </c>
      <c r="AA84" s="4" t="n">
        <v>7</v>
      </c>
      <c r="AB84" s="4" t="n">
        <v>80</v>
      </c>
      <c r="AC84" s="5" t="n">
        <v>99999</v>
      </c>
      <c r="AD84" s="3" t="s">
        <v>165</v>
      </c>
      <c r="AE84" s="6" t="n">
        <v>22841.4983333333</v>
      </c>
      <c r="AF84" s="5" t="n">
        <v>149</v>
      </c>
      <c r="AG84" s="5" t="n">
        <v>1302</v>
      </c>
      <c r="AH84" s="3" t="s">
        <v>77</v>
      </c>
      <c r="AI84" s="6" t="n">
        <v>7.7922162083</v>
      </c>
      <c r="AJ84" s="7"/>
      <c r="AK84" s="5" t="n">
        <v>99999</v>
      </c>
      <c r="AL84" s="4" t="n">
        <f aca="false">(IF(AC84=99999,0,AC84))+((IF(AF84=99999,0,AF84))/AE84)+AG84+(AJ84/AI84)+(IF(AK84=99999,0,AK84))</f>
        <v>1302.0065232148</v>
      </c>
      <c r="AM84" s="4" t="n">
        <f aca="false">AL84+AB84</f>
        <v>1382.0065232148</v>
      </c>
      <c r="AN84" s="8" t="s">
        <v>385</v>
      </c>
      <c r="AO84" s="8" t="s">
        <v>65</v>
      </c>
      <c r="AP84" s="24" t="e">
        <f aca="false">(IF((F84="Port to Port"),(IF(AND(AC84=99999,OR(AF84="",AF84=99999),AG84="",AJ84="",AK84=99999,#REF!="",#REF!="",#REF!="",#REF!="",#REF!="",#REF!="",AN84&lt;&gt;"",#REF!&lt;&gt;"",#REF!="",#REF!="",AO84&lt;&gt;"",#REF!&lt;&gt;"",#REF!="",#REF!="",#REF!="",#REF!=""),"No Bid",IF(AND(AC84=99999,OR(AF84&lt;&gt;"",AF84=99999),AG84&lt;&gt;"",AJ84&lt;&gt;"",AK84=99999,#REF!&lt;&gt;"",#REF!&lt;&gt;"",#REF!&lt;&gt;"",#REF!&lt;&gt;"",#REF!&lt;&gt;"",#REF!&lt;&gt;"",AN84&lt;&gt;"",#REF!&lt;&gt;"",#REF!="",#REF!="",AO84&lt;&gt;"",#REF!&lt;&gt;"",#REF!="",#REF!="",#REF!&lt;&gt;"",(IF((OR(#REF!="No Trans-Shipments",#REF!="")),(AND(#REF!="",#REF!="")),(IF(#REF!="1 Trans-Shipment",(AND(#REF!&lt;&gt;"",#REF!="")),(AND(#REF!&lt;&gt;"",#REF!&lt;&gt;"")))))),#REF!&lt;&gt;""),"Complete Bid","Incomplete Bid")))))</f>
        <v>#REF!</v>
      </c>
      <c r="AQ84" s="25" t="n">
        <f aca="false">(IF((F84="Door to Port"),(IF(AND(AC84="",AF84="",AG84="",AJ84="",AK84=99999,#REF!="",#REF!="",#REF!="",#REF!="",#REF!="",#REF!="",AN84="",#REF!="",#REF!="",#REF!="",AO84&lt;&gt;"",#REF!&lt;&gt;"",#REF!="",#REF!="",#REF!="",#REF!=""),"No Bid",IF(AND(AC84&lt;&gt;"",AF84&lt;&gt;"",AG84&lt;&gt;"",AJ84&lt;&gt;"",AK84=99999,#REF!&lt;&gt;"",#REF!&lt;&gt;"",#REF!&lt;&gt;"",#REF!&lt;&gt;"",#REF!&lt;&gt;"",#REF!&lt;&gt;"",AN84&lt;&gt;"",#REF!&lt;&gt;"",OR(#REF!="",#REF!&lt;&gt;""),#REF!&lt;&gt;"",AO84&lt;&gt;"",#REF!&lt;&gt;"",#REF!="",#REF!="",#REF!&lt;&gt;"",(IF((OR((#REF!="No Trans-Shipments"),(#REF!=""))),(AND(#REF!="",#REF!="")),(IF(#REF!="1 Trans-Shipment",(AND(#REF!&lt;&gt;"",#REF!="")),(AND(#REF!&lt;&gt;"",#REF!&lt;&gt;"")))))),#REF!&lt;&gt;""),"Complete Bid","Incomplete Bid")))))</f>
        <v>0</v>
      </c>
      <c r="AR84" s="25" t="n">
        <f aca="false">(IF((F84="Port to Door"),(IF(AND(AC84=99999,OR(AF84="",AF84=99999),AG84="",AJ84="",AK84="",#REF!="",#REF!="",#REF!="",#REF!="",#REF!="",#REF!="",AN84&lt;&gt;"",#REF!&lt;&gt;"",#REF!="",#REF!="",AO84="",#REF!="",#REF!="",#REF!="",#REF!="",#REF!=""),"No Bid",IF(AND(AC84=99999,OR(AF84&lt;&gt;"",AF84=99999),AG84&lt;&gt;"",AJ84&lt;&gt;"",AK84&lt;&gt;"",#REF!&lt;&gt;"",#REF!&lt;&gt;"",#REF!&lt;&gt;"",#REF!&lt;&gt;"",#REF!&lt;&gt;"",#REF!&lt;&gt;"",AN84&lt;&gt;"",#REF!&lt;&gt;"",#REF!="",#REF!="",AO84&lt;&gt;"",#REF!&lt;&gt;"",OR(#REF!&lt;&gt;"",#REF!=""),#REF!&lt;&gt;"",#REF!&lt;&gt;"",(IF((OR(#REF!="No Trans-Shipments",#REF!="")),(AND(#REF!="",#REF!="")),(IF(#REF!="1 Trans-Shipment",(AND(#REF!&lt;&gt;"",#REF!="")),(AND(#REF!&lt;&gt;"",#REF!&lt;&gt;"")))))),#REF!&lt;&gt;""),"Complete Bid","Incomplete Bid")))))</f>
        <v>0</v>
      </c>
      <c r="AS84" s="25" t="n">
        <f aca="false">(IF((F84="Door to Door"),(IF(AND(AC84="",AF84="",AG84="",AJ84="",AK84="",#REF!="",#REF!="",#REF!="",#REF!="",#REF!="",#REF!="",AN84="",#REF!="",#REF!="",#REF!="",AO84="",#REF!="",#REF!="",#REF!="",#REF!="",#REF!=""),"No Bid",IF(AND(AC84&lt;&gt;"",AF84&lt;&gt;"",AG84&lt;&gt;"",AJ84&lt;&gt;"",AK84&lt;&gt;"",#REF!&lt;&gt;"",#REF!&lt;&gt;"",#REF!&lt;&gt;"",#REF!&lt;&gt;"",#REF!&lt;&gt;"",#REF!&lt;&gt;"",AN84&lt;&gt;"",#REF!&lt;&gt;"",OR(#REF!&lt;&gt;"",#REF!=""),#REF!&lt;&gt;"",AO84&lt;&gt;"",#REF!&lt;&gt;"",OR(#REF!&lt;&gt;"",#REF!=""),#REF!&lt;&gt;"",#REF!&lt;&gt;"",(IF((OR(#REF!="No Trans-Shipments",#REF!="")),(AND(#REF!="",#REF!="")),(IF(#REF!="1 Trans-Shipment",(AND(#REF!&lt;&gt;"",#REF!="")),(AND(#REF!&lt;&gt;"",#REF!&lt;&gt;"")))))),#REF!&lt;&gt;""),"Complete Bid","Incomplete Bid")))))</f>
        <v>0</v>
      </c>
    </row>
    <row r="85" customFormat="false" ht="12.75" hidden="false" customHeight="true" outlineLevel="0" collapsed="false">
      <c r="A85" s="2" t="s">
        <v>56</v>
      </c>
      <c r="B85" s="23" t="s">
        <v>410</v>
      </c>
      <c r="C85" s="3" t="s">
        <v>58</v>
      </c>
      <c r="D85" s="3" t="s">
        <v>411</v>
      </c>
      <c r="E85" s="3" t="s">
        <v>120</v>
      </c>
      <c r="F85" s="3" t="s">
        <v>61</v>
      </c>
      <c r="G85" s="3" t="s">
        <v>377</v>
      </c>
      <c r="H85" s="3" t="s">
        <v>58</v>
      </c>
      <c r="I85" s="3" t="s">
        <v>162</v>
      </c>
      <c r="J85" s="3" t="s">
        <v>385</v>
      </c>
      <c r="K85" s="3" t="s">
        <v>58</v>
      </c>
      <c r="L85" s="3" t="s">
        <v>197</v>
      </c>
      <c r="M85" s="3" t="s">
        <v>198</v>
      </c>
      <c r="N85" s="3" t="s">
        <v>66</v>
      </c>
      <c r="O85" s="3" t="s">
        <v>169</v>
      </c>
      <c r="P85" s="3" t="s">
        <v>68</v>
      </c>
      <c r="Q85" s="3"/>
      <c r="R85" s="3" t="s">
        <v>386</v>
      </c>
      <c r="S85" s="3"/>
      <c r="T85" s="3" t="s">
        <v>412</v>
      </c>
      <c r="U85" s="3"/>
      <c r="V85" s="4" t="n">
        <v>2</v>
      </c>
      <c r="W85" s="4"/>
      <c r="X85" s="4" t="n">
        <v>7</v>
      </c>
      <c r="Y85" s="4" t="n">
        <v>10</v>
      </c>
      <c r="Z85" s="4" t="n">
        <v>14</v>
      </c>
      <c r="AA85" s="4" t="n">
        <v>14</v>
      </c>
      <c r="AB85" s="4" t="n">
        <v>40</v>
      </c>
      <c r="AC85" s="5" t="n">
        <v>99999</v>
      </c>
      <c r="AD85" s="3" t="s">
        <v>165</v>
      </c>
      <c r="AE85" s="6" t="n">
        <v>22841.4983333333</v>
      </c>
      <c r="AF85" s="5" t="n">
        <v>150</v>
      </c>
      <c r="AG85" s="5" t="n">
        <v>1303</v>
      </c>
      <c r="AH85" s="3" t="s">
        <v>200</v>
      </c>
      <c r="AI85" s="6" t="n">
        <v>14685.35375</v>
      </c>
      <c r="AJ85" s="7"/>
      <c r="AK85" s="5" t="n">
        <v>99999</v>
      </c>
      <c r="AL85" s="4" t="n">
        <f aca="false">(IF(AC85=99999,0,AC85))+((IF(AF85=99999,0,AF85))/AE85)+AG85+(AJ85/AI85)+(IF(AK85=99999,0,AK85))</f>
        <v>1303.00656699477</v>
      </c>
      <c r="AM85" s="4" t="n">
        <f aca="false">AL85+AB85</f>
        <v>1343.00656699477</v>
      </c>
      <c r="AN85" s="8" t="s">
        <v>385</v>
      </c>
      <c r="AO85" s="8" t="s">
        <v>198</v>
      </c>
      <c r="AP85" s="24" t="e">
        <f aca="false">(IF((F85="Port to Port"),(IF(AND(AC85=99999,OR(AF85="",AF85=99999),AG85="",AJ85="",AK85=99999,#REF!="",#REF!="",#REF!="",#REF!="",#REF!="",#REF!="",AN85&lt;&gt;"",#REF!&lt;&gt;"",#REF!="",#REF!="",AO85&lt;&gt;"",#REF!&lt;&gt;"",#REF!="",#REF!="",#REF!="",#REF!=""),"No Bid",IF(AND(AC85=99999,OR(AF85&lt;&gt;"",AF85=99999),AG85&lt;&gt;"",AJ85&lt;&gt;"",AK85=99999,#REF!&lt;&gt;"",#REF!&lt;&gt;"",#REF!&lt;&gt;"",#REF!&lt;&gt;"",#REF!&lt;&gt;"",#REF!&lt;&gt;"",AN85&lt;&gt;"",#REF!&lt;&gt;"",#REF!="",#REF!="",AO85&lt;&gt;"",#REF!&lt;&gt;"",#REF!="",#REF!="",#REF!&lt;&gt;"",(IF((OR(#REF!="No Trans-Shipments",#REF!="")),(AND(#REF!="",#REF!="")),(IF(#REF!="1 Trans-Shipment",(AND(#REF!&lt;&gt;"",#REF!="")),(AND(#REF!&lt;&gt;"",#REF!&lt;&gt;"")))))),#REF!&lt;&gt;""),"Complete Bid","Incomplete Bid")))))</f>
        <v>#REF!</v>
      </c>
      <c r="AQ85" s="25" t="n">
        <f aca="false">(IF((F85="Door to Port"),(IF(AND(AC85="",AF85="",AG85="",AJ85="",AK85=99999,#REF!="",#REF!="",#REF!="",#REF!="",#REF!="",#REF!="",AN85="",#REF!="",#REF!="",#REF!="",AO85&lt;&gt;"",#REF!&lt;&gt;"",#REF!="",#REF!="",#REF!="",#REF!=""),"No Bid",IF(AND(AC85&lt;&gt;"",AF85&lt;&gt;"",AG85&lt;&gt;"",AJ85&lt;&gt;"",AK85=99999,#REF!&lt;&gt;"",#REF!&lt;&gt;"",#REF!&lt;&gt;"",#REF!&lt;&gt;"",#REF!&lt;&gt;"",#REF!&lt;&gt;"",AN85&lt;&gt;"",#REF!&lt;&gt;"",OR(#REF!="",#REF!&lt;&gt;""),#REF!&lt;&gt;"",AO85&lt;&gt;"",#REF!&lt;&gt;"",#REF!="",#REF!="",#REF!&lt;&gt;"",(IF((OR((#REF!="No Trans-Shipments"),(#REF!=""))),(AND(#REF!="",#REF!="")),(IF(#REF!="1 Trans-Shipment",(AND(#REF!&lt;&gt;"",#REF!="")),(AND(#REF!&lt;&gt;"",#REF!&lt;&gt;"")))))),#REF!&lt;&gt;""),"Complete Bid","Incomplete Bid")))))</f>
        <v>0</v>
      </c>
      <c r="AR85" s="25" t="n">
        <f aca="false">(IF((F85="Port to Door"),(IF(AND(AC85=99999,OR(AF85="",AF85=99999),AG85="",AJ85="",AK85="",#REF!="",#REF!="",#REF!="",#REF!="",#REF!="",#REF!="",AN85&lt;&gt;"",#REF!&lt;&gt;"",#REF!="",#REF!="",AO85="",#REF!="",#REF!="",#REF!="",#REF!="",#REF!=""),"No Bid",IF(AND(AC85=99999,OR(AF85&lt;&gt;"",AF85=99999),AG85&lt;&gt;"",AJ85&lt;&gt;"",AK85&lt;&gt;"",#REF!&lt;&gt;"",#REF!&lt;&gt;"",#REF!&lt;&gt;"",#REF!&lt;&gt;"",#REF!&lt;&gt;"",#REF!&lt;&gt;"",AN85&lt;&gt;"",#REF!&lt;&gt;"",#REF!="",#REF!="",AO85&lt;&gt;"",#REF!&lt;&gt;"",OR(#REF!&lt;&gt;"",#REF!=""),#REF!&lt;&gt;"",#REF!&lt;&gt;"",(IF((OR(#REF!="No Trans-Shipments",#REF!="")),(AND(#REF!="",#REF!="")),(IF(#REF!="1 Trans-Shipment",(AND(#REF!&lt;&gt;"",#REF!="")),(AND(#REF!&lt;&gt;"",#REF!&lt;&gt;"")))))),#REF!&lt;&gt;""),"Complete Bid","Incomplete Bid")))))</f>
        <v>0</v>
      </c>
      <c r="AS85" s="25" t="n">
        <f aca="false">(IF((F85="Door to Door"),(IF(AND(AC85="",AF85="",AG85="",AJ85="",AK85="",#REF!="",#REF!="",#REF!="",#REF!="",#REF!="",#REF!="",AN85="",#REF!="",#REF!="",#REF!="",AO85="",#REF!="",#REF!="",#REF!="",#REF!="",#REF!=""),"No Bid",IF(AND(AC85&lt;&gt;"",AF85&lt;&gt;"",AG85&lt;&gt;"",AJ85&lt;&gt;"",AK85&lt;&gt;"",#REF!&lt;&gt;"",#REF!&lt;&gt;"",#REF!&lt;&gt;"",#REF!&lt;&gt;"",#REF!&lt;&gt;"",#REF!&lt;&gt;"",AN85&lt;&gt;"",#REF!&lt;&gt;"",OR(#REF!&lt;&gt;"",#REF!=""),#REF!&lt;&gt;"",AO85&lt;&gt;"",#REF!&lt;&gt;"",OR(#REF!&lt;&gt;"",#REF!=""),#REF!&lt;&gt;"",#REF!&lt;&gt;"",(IF((OR(#REF!="No Trans-Shipments",#REF!="")),(AND(#REF!="",#REF!="")),(IF(#REF!="1 Trans-Shipment",(AND(#REF!&lt;&gt;"",#REF!="")),(AND(#REF!&lt;&gt;"",#REF!&lt;&gt;"")))))),#REF!&lt;&gt;""),"Complete Bid","Incomplete Bid")))))</f>
        <v>0</v>
      </c>
    </row>
    <row r="86" customFormat="false" ht="12.75" hidden="false" customHeight="true" outlineLevel="0" collapsed="false">
      <c r="A86" s="2" t="s">
        <v>56</v>
      </c>
      <c r="B86" s="23" t="s">
        <v>413</v>
      </c>
      <c r="C86" s="3" t="s">
        <v>58</v>
      </c>
      <c r="D86" s="3" t="s">
        <v>414</v>
      </c>
      <c r="E86" s="3" t="s">
        <v>120</v>
      </c>
      <c r="F86" s="3" t="s">
        <v>61</v>
      </c>
      <c r="G86" s="3" t="s">
        <v>377</v>
      </c>
      <c r="H86" s="3" t="s">
        <v>58</v>
      </c>
      <c r="I86" s="3" t="s">
        <v>162</v>
      </c>
      <c r="J86" s="3" t="s">
        <v>385</v>
      </c>
      <c r="K86" s="3" t="s">
        <v>58</v>
      </c>
      <c r="L86" s="3" t="s">
        <v>197</v>
      </c>
      <c r="M86" s="3" t="s">
        <v>198</v>
      </c>
      <c r="N86" s="3" t="s">
        <v>80</v>
      </c>
      <c r="O86" s="3" t="s">
        <v>169</v>
      </c>
      <c r="P86" s="3" t="s">
        <v>68</v>
      </c>
      <c r="Q86" s="3"/>
      <c r="R86" s="3" t="s">
        <v>386</v>
      </c>
      <c r="S86" s="3"/>
      <c r="T86" s="3" t="s">
        <v>412</v>
      </c>
      <c r="U86" s="3"/>
      <c r="V86" s="4" t="n">
        <v>18</v>
      </c>
      <c r="W86" s="4" t="s">
        <v>374</v>
      </c>
      <c r="X86" s="4" t="n">
        <v>7</v>
      </c>
      <c r="Y86" s="4" t="n">
        <v>10</v>
      </c>
      <c r="Z86" s="4" t="n">
        <v>14</v>
      </c>
      <c r="AA86" s="4" t="n">
        <v>14</v>
      </c>
      <c r="AB86" s="4" t="n">
        <v>80</v>
      </c>
      <c r="AC86" s="5" t="n">
        <v>99999</v>
      </c>
      <c r="AD86" s="3" t="s">
        <v>165</v>
      </c>
      <c r="AE86" s="6" t="n">
        <v>22841.4983333333</v>
      </c>
      <c r="AF86" s="5" t="n">
        <v>151</v>
      </c>
      <c r="AG86" s="5" t="n">
        <v>1304</v>
      </c>
      <c r="AH86" s="3" t="s">
        <v>200</v>
      </c>
      <c r="AI86" s="6" t="n">
        <v>14685.35375</v>
      </c>
      <c r="AJ86" s="7"/>
      <c r="AK86" s="5" t="n">
        <v>99999</v>
      </c>
      <c r="AL86" s="4" t="n">
        <f aca="false">(IF(AC86=99999,0,AC86))+((IF(AF86=99999,0,AF86))/AE86)+AG86+(AJ86/AI86)+(IF(AK86=99999,0,AK86))</f>
        <v>1304.00661077473</v>
      </c>
      <c r="AM86" s="4" t="n">
        <f aca="false">AL86+AB86</f>
        <v>1384.00661077473</v>
      </c>
      <c r="AN86" s="8" t="s">
        <v>385</v>
      </c>
      <c r="AO86" s="8" t="s">
        <v>198</v>
      </c>
      <c r="AP86" s="24" t="e">
        <f aca="false">(IF((F86="Port to Port"),(IF(AND(AC86=99999,OR(AF86="",AF86=99999),AG86="",AJ86="",AK86=99999,#REF!="",#REF!="",#REF!="",#REF!="",#REF!="",#REF!="",AN86&lt;&gt;"",#REF!&lt;&gt;"",#REF!="",#REF!="",AO86&lt;&gt;"",#REF!&lt;&gt;"",#REF!="",#REF!="",#REF!="",#REF!=""),"No Bid",IF(AND(AC86=99999,OR(AF86&lt;&gt;"",AF86=99999),AG86&lt;&gt;"",AJ86&lt;&gt;"",AK86=99999,#REF!&lt;&gt;"",#REF!&lt;&gt;"",#REF!&lt;&gt;"",#REF!&lt;&gt;"",#REF!&lt;&gt;"",#REF!&lt;&gt;"",AN86&lt;&gt;"",#REF!&lt;&gt;"",#REF!="",#REF!="",AO86&lt;&gt;"",#REF!&lt;&gt;"",#REF!="",#REF!="",#REF!&lt;&gt;"",(IF((OR(#REF!="No Trans-Shipments",#REF!="")),(AND(#REF!="",#REF!="")),(IF(#REF!="1 Trans-Shipment",(AND(#REF!&lt;&gt;"",#REF!="")),(AND(#REF!&lt;&gt;"",#REF!&lt;&gt;"")))))),#REF!&lt;&gt;""),"Complete Bid","Incomplete Bid")))))</f>
        <v>#REF!</v>
      </c>
      <c r="AQ86" s="25" t="n">
        <f aca="false">(IF((F86="Door to Port"),(IF(AND(AC86="",AF86="",AG86="",AJ86="",AK86=99999,#REF!="",#REF!="",#REF!="",#REF!="",#REF!="",#REF!="",AN86="",#REF!="",#REF!="",#REF!="",AO86&lt;&gt;"",#REF!&lt;&gt;"",#REF!="",#REF!="",#REF!="",#REF!=""),"No Bid",IF(AND(AC86&lt;&gt;"",AF86&lt;&gt;"",AG86&lt;&gt;"",AJ86&lt;&gt;"",AK86=99999,#REF!&lt;&gt;"",#REF!&lt;&gt;"",#REF!&lt;&gt;"",#REF!&lt;&gt;"",#REF!&lt;&gt;"",#REF!&lt;&gt;"",AN86&lt;&gt;"",#REF!&lt;&gt;"",OR(#REF!="",#REF!&lt;&gt;""),#REF!&lt;&gt;"",AO86&lt;&gt;"",#REF!&lt;&gt;"",#REF!="",#REF!="",#REF!&lt;&gt;"",(IF((OR((#REF!="No Trans-Shipments"),(#REF!=""))),(AND(#REF!="",#REF!="")),(IF(#REF!="1 Trans-Shipment",(AND(#REF!&lt;&gt;"",#REF!="")),(AND(#REF!&lt;&gt;"",#REF!&lt;&gt;"")))))),#REF!&lt;&gt;""),"Complete Bid","Incomplete Bid")))))</f>
        <v>0</v>
      </c>
      <c r="AR86" s="25" t="n">
        <f aca="false">(IF((F86="Port to Door"),(IF(AND(AC86=99999,OR(AF86="",AF86=99999),AG86="",AJ86="",AK86="",#REF!="",#REF!="",#REF!="",#REF!="",#REF!="",#REF!="",AN86&lt;&gt;"",#REF!&lt;&gt;"",#REF!="",#REF!="",AO86="",#REF!="",#REF!="",#REF!="",#REF!="",#REF!=""),"No Bid",IF(AND(AC86=99999,OR(AF86&lt;&gt;"",AF86=99999),AG86&lt;&gt;"",AJ86&lt;&gt;"",AK86&lt;&gt;"",#REF!&lt;&gt;"",#REF!&lt;&gt;"",#REF!&lt;&gt;"",#REF!&lt;&gt;"",#REF!&lt;&gt;"",#REF!&lt;&gt;"",AN86&lt;&gt;"",#REF!&lt;&gt;"",#REF!="",#REF!="",AO86&lt;&gt;"",#REF!&lt;&gt;"",OR(#REF!&lt;&gt;"",#REF!=""),#REF!&lt;&gt;"",#REF!&lt;&gt;"",(IF((OR(#REF!="No Trans-Shipments",#REF!="")),(AND(#REF!="",#REF!="")),(IF(#REF!="1 Trans-Shipment",(AND(#REF!&lt;&gt;"",#REF!="")),(AND(#REF!&lt;&gt;"",#REF!&lt;&gt;"")))))),#REF!&lt;&gt;""),"Complete Bid","Incomplete Bid")))))</f>
        <v>0</v>
      </c>
      <c r="AS86" s="25" t="n">
        <f aca="false">(IF((F86="Door to Door"),(IF(AND(AC86="",AF86="",AG86="",AJ86="",AK86="",#REF!="",#REF!="",#REF!="",#REF!="",#REF!="",#REF!="",AN86="",#REF!="",#REF!="",#REF!="",AO86="",#REF!="",#REF!="",#REF!="",#REF!="",#REF!=""),"No Bid",IF(AND(AC86&lt;&gt;"",AF86&lt;&gt;"",AG86&lt;&gt;"",AJ86&lt;&gt;"",AK86&lt;&gt;"",#REF!&lt;&gt;"",#REF!&lt;&gt;"",#REF!&lt;&gt;"",#REF!&lt;&gt;"",#REF!&lt;&gt;"",#REF!&lt;&gt;"",AN86&lt;&gt;"",#REF!&lt;&gt;"",OR(#REF!&lt;&gt;"",#REF!=""),#REF!&lt;&gt;"",AO86&lt;&gt;"",#REF!&lt;&gt;"",OR(#REF!&lt;&gt;"",#REF!=""),#REF!&lt;&gt;"",#REF!&lt;&gt;"",(IF((OR(#REF!="No Trans-Shipments",#REF!="")),(AND(#REF!="",#REF!="")),(IF(#REF!="1 Trans-Shipment",(AND(#REF!&lt;&gt;"",#REF!="")),(AND(#REF!&lt;&gt;"",#REF!&lt;&gt;"")))))),#REF!&lt;&gt;""),"Complete Bid","Incomplete Bid")))))</f>
        <v>0</v>
      </c>
    </row>
    <row r="87" customFormat="false" ht="12.75" hidden="false" customHeight="true" outlineLevel="0" collapsed="false">
      <c r="A87" s="2" t="s">
        <v>56</v>
      </c>
      <c r="B87" s="23" t="s">
        <v>415</v>
      </c>
      <c r="C87" s="3" t="s">
        <v>58</v>
      </c>
      <c r="D87" s="3" t="s">
        <v>416</v>
      </c>
      <c r="E87" s="3" t="s">
        <v>120</v>
      </c>
      <c r="F87" s="3" t="s">
        <v>61</v>
      </c>
      <c r="G87" s="3" t="s">
        <v>384</v>
      </c>
      <c r="H87" s="3" t="s">
        <v>58</v>
      </c>
      <c r="I87" s="3" t="s">
        <v>162</v>
      </c>
      <c r="J87" s="3" t="s">
        <v>385</v>
      </c>
      <c r="K87" s="3" t="s">
        <v>58</v>
      </c>
      <c r="L87" s="3" t="s">
        <v>236</v>
      </c>
      <c r="M87" s="3" t="s">
        <v>237</v>
      </c>
      <c r="N87" s="3" t="s">
        <v>66</v>
      </c>
      <c r="O87" s="3" t="s">
        <v>169</v>
      </c>
      <c r="P87" s="3" t="s">
        <v>68</v>
      </c>
      <c r="Q87" s="3"/>
      <c r="R87" s="3" t="s">
        <v>386</v>
      </c>
      <c r="S87" s="3" t="s">
        <v>417</v>
      </c>
      <c r="T87" s="3" t="s">
        <v>155</v>
      </c>
      <c r="U87" s="3"/>
      <c r="V87" s="4" t="n">
        <v>22</v>
      </c>
      <c r="W87" s="4"/>
      <c r="X87" s="4" t="n">
        <v>7</v>
      </c>
      <c r="Y87" s="4" t="n">
        <v>10</v>
      </c>
      <c r="Z87" s="4" t="n">
        <v>14</v>
      </c>
      <c r="AA87" s="4" t="n">
        <v>7</v>
      </c>
      <c r="AB87" s="4" t="n">
        <v>40</v>
      </c>
      <c r="AC87" s="5" t="n">
        <v>99999</v>
      </c>
      <c r="AD87" s="3" t="s">
        <v>165</v>
      </c>
      <c r="AE87" s="6" t="n">
        <v>22841.4983333333</v>
      </c>
      <c r="AF87" s="5" t="n">
        <v>152</v>
      </c>
      <c r="AG87" s="5" t="n">
        <v>1305</v>
      </c>
      <c r="AH87" s="3" t="s">
        <v>239</v>
      </c>
      <c r="AI87" s="6" t="n">
        <v>50.9902047083</v>
      </c>
      <c r="AJ87" s="7"/>
      <c r="AK87" s="5" t="n">
        <v>99999</v>
      </c>
      <c r="AL87" s="4" t="n">
        <f aca="false">(IF(AC87=99999,0,AC87))+((IF(AF87=99999,0,AF87))/AE87)+AG87+(AJ87/AI87)+(IF(AK87=99999,0,AK87))</f>
        <v>1305.0066545547</v>
      </c>
      <c r="AM87" s="4" t="n">
        <f aca="false">AL87+AB87</f>
        <v>1345.0066545547</v>
      </c>
      <c r="AN87" s="8" t="s">
        <v>385</v>
      </c>
      <c r="AO87" s="8" t="s">
        <v>237</v>
      </c>
      <c r="AP87" s="24" t="e">
        <f aca="false">(IF((F87="Port to Port"),(IF(AND(AC87=99999,OR(AF87="",AF87=99999),AG87="",AJ87="",AK87=99999,#REF!="",#REF!="",#REF!="",#REF!="",#REF!="",#REF!="",AN87&lt;&gt;"",#REF!&lt;&gt;"",#REF!="",#REF!="",AO87&lt;&gt;"",#REF!&lt;&gt;"",#REF!="",#REF!="",#REF!="",#REF!=""),"No Bid",IF(AND(AC87=99999,OR(AF87&lt;&gt;"",AF87=99999),AG87&lt;&gt;"",AJ87&lt;&gt;"",AK87=99999,#REF!&lt;&gt;"",#REF!&lt;&gt;"",#REF!&lt;&gt;"",#REF!&lt;&gt;"",#REF!&lt;&gt;"",#REF!&lt;&gt;"",AN87&lt;&gt;"",#REF!&lt;&gt;"",#REF!="",#REF!="",AO87&lt;&gt;"",#REF!&lt;&gt;"",#REF!="",#REF!="",#REF!&lt;&gt;"",(IF((OR(#REF!="No Trans-Shipments",#REF!="")),(AND(#REF!="",#REF!="")),(IF(#REF!="1 Trans-Shipment",(AND(#REF!&lt;&gt;"",#REF!="")),(AND(#REF!&lt;&gt;"",#REF!&lt;&gt;"")))))),#REF!&lt;&gt;""),"Complete Bid","Incomplete Bid")))))</f>
        <v>#REF!</v>
      </c>
      <c r="AQ87" s="25" t="n">
        <f aca="false">(IF((F87="Door to Port"),(IF(AND(AC87="",AF87="",AG87="",AJ87="",AK87=99999,#REF!="",#REF!="",#REF!="",#REF!="",#REF!="",#REF!="",AN87="",#REF!="",#REF!="",#REF!="",AO87&lt;&gt;"",#REF!&lt;&gt;"",#REF!="",#REF!="",#REF!="",#REF!=""),"No Bid",IF(AND(AC87&lt;&gt;"",AF87&lt;&gt;"",AG87&lt;&gt;"",AJ87&lt;&gt;"",AK87=99999,#REF!&lt;&gt;"",#REF!&lt;&gt;"",#REF!&lt;&gt;"",#REF!&lt;&gt;"",#REF!&lt;&gt;"",#REF!&lt;&gt;"",AN87&lt;&gt;"",#REF!&lt;&gt;"",OR(#REF!="",#REF!&lt;&gt;""),#REF!&lt;&gt;"",AO87&lt;&gt;"",#REF!&lt;&gt;"",#REF!="",#REF!="",#REF!&lt;&gt;"",(IF((OR((#REF!="No Trans-Shipments"),(#REF!=""))),(AND(#REF!="",#REF!="")),(IF(#REF!="1 Trans-Shipment",(AND(#REF!&lt;&gt;"",#REF!="")),(AND(#REF!&lt;&gt;"",#REF!&lt;&gt;"")))))),#REF!&lt;&gt;""),"Complete Bid","Incomplete Bid")))))</f>
        <v>0</v>
      </c>
      <c r="AR87" s="25" t="n">
        <f aca="false">(IF((F87="Port to Door"),(IF(AND(AC87=99999,OR(AF87="",AF87=99999),AG87="",AJ87="",AK87="",#REF!="",#REF!="",#REF!="",#REF!="",#REF!="",#REF!="",AN87&lt;&gt;"",#REF!&lt;&gt;"",#REF!="",#REF!="",AO87="",#REF!="",#REF!="",#REF!="",#REF!="",#REF!=""),"No Bid",IF(AND(AC87=99999,OR(AF87&lt;&gt;"",AF87=99999),AG87&lt;&gt;"",AJ87&lt;&gt;"",AK87&lt;&gt;"",#REF!&lt;&gt;"",#REF!&lt;&gt;"",#REF!&lt;&gt;"",#REF!&lt;&gt;"",#REF!&lt;&gt;"",#REF!&lt;&gt;"",AN87&lt;&gt;"",#REF!&lt;&gt;"",#REF!="",#REF!="",AO87&lt;&gt;"",#REF!&lt;&gt;"",OR(#REF!&lt;&gt;"",#REF!=""),#REF!&lt;&gt;"",#REF!&lt;&gt;"",(IF((OR(#REF!="No Trans-Shipments",#REF!="")),(AND(#REF!="",#REF!="")),(IF(#REF!="1 Trans-Shipment",(AND(#REF!&lt;&gt;"",#REF!="")),(AND(#REF!&lt;&gt;"",#REF!&lt;&gt;"")))))),#REF!&lt;&gt;""),"Complete Bid","Incomplete Bid")))))</f>
        <v>0</v>
      </c>
      <c r="AS87" s="25" t="n">
        <f aca="false">(IF((F87="Door to Door"),(IF(AND(AC87="",AF87="",AG87="",AJ87="",AK87="",#REF!="",#REF!="",#REF!="",#REF!="",#REF!="",#REF!="",AN87="",#REF!="",#REF!="",#REF!="",AO87="",#REF!="",#REF!="",#REF!="",#REF!="",#REF!=""),"No Bid",IF(AND(AC87&lt;&gt;"",AF87&lt;&gt;"",AG87&lt;&gt;"",AJ87&lt;&gt;"",AK87&lt;&gt;"",#REF!&lt;&gt;"",#REF!&lt;&gt;"",#REF!&lt;&gt;"",#REF!&lt;&gt;"",#REF!&lt;&gt;"",#REF!&lt;&gt;"",AN87&lt;&gt;"",#REF!&lt;&gt;"",OR(#REF!&lt;&gt;"",#REF!=""),#REF!&lt;&gt;"",AO87&lt;&gt;"",#REF!&lt;&gt;"",OR(#REF!&lt;&gt;"",#REF!=""),#REF!&lt;&gt;"",#REF!&lt;&gt;"",(IF((OR(#REF!="No Trans-Shipments",#REF!="")),(AND(#REF!="",#REF!="")),(IF(#REF!="1 Trans-Shipment",(AND(#REF!&lt;&gt;"",#REF!="")),(AND(#REF!&lt;&gt;"",#REF!&lt;&gt;"")))))),#REF!&lt;&gt;""),"Complete Bid","Incomplete Bid")))))</f>
        <v>0</v>
      </c>
    </row>
    <row r="88" customFormat="false" ht="12.75" hidden="false" customHeight="true" outlineLevel="0" collapsed="false">
      <c r="A88" s="2" t="s">
        <v>56</v>
      </c>
      <c r="B88" s="23" t="s">
        <v>418</v>
      </c>
      <c r="C88" s="3" t="s">
        <v>58</v>
      </c>
      <c r="D88" s="3" t="s">
        <v>419</v>
      </c>
      <c r="E88" s="3" t="s">
        <v>120</v>
      </c>
      <c r="F88" s="3" t="s">
        <v>61</v>
      </c>
      <c r="G88" s="3" t="s">
        <v>384</v>
      </c>
      <c r="H88" s="3" t="s">
        <v>58</v>
      </c>
      <c r="I88" s="3" t="s">
        <v>162</v>
      </c>
      <c r="J88" s="3" t="s">
        <v>385</v>
      </c>
      <c r="K88" s="3" t="s">
        <v>58</v>
      </c>
      <c r="L88" s="3" t="s">
        <v>236</v>
      </c>
      <c r="M88" s="3" t="s">
        <v>237</v>
      </c>
      <c r="N88" s="3" t="s">
        <v>80</v>
      </c>
      <c r="O88" s="3" t="s">
        <v>169</v>
      </c>
      <c r="P88" s="3" t="s">
        <v>68</v>
      </c>
      <c r="Q88" s="3"/>
      <c r="R88" s="3" t="s">
        <v>386</v>
      </c>
      <c r="S88" s="3" t="s">
        <v>417</v>
      </c>
      <c r="T88" s="3" t="s">
        <v>155</v>
      </c>
      <c r="U88" s="3"/>
      <c r="V88" s="4" t="n">
        <v>180</v>
      </c>
      <c r="W88" s="4" t="s">
        <v>420</v>
      </c>
      <c r="X88" s="4" t="n">
        <v>7</v>
      </c>
      <c r="Y88" s="4" t="n">
        <v>10</v>
      </c>
      <c r="Z88" s="4" t="n">
        <v>14</v>
      </c>
      <c r="AA88" s="4" t="n">
        <v>7</v>
      </c>
      <c r="AB88" s="4" t="n">
        <v>80</v>
      </c>
      <c r="AC88" s="5" t="n">
        <v>99999</v>
      </c>
      <c r="AD88" s="3" t="s">
        <v>165</v>
      </c>
      <c r="AE88" s="6" t="n">
        <v>22841.4983333333</v>
      </c>
      <c r="AF88" s="5" t="n">
        <v>153</v>
      </c>
      <c r="AG88" s="5" t="n">
        <v>1306</v>
      </c>
      <c r="AH88" s="3" t="s">
        <v>239</v>
      </c>
      <c r="AI88" s="6" t="n">
        <v>50.9902047083</v>
      </c>
      <c r="AJ88" s="7"/>
      <c r="AK88" s="5" t="n">
        <v>99999</v>
      </c>
      <c r="AL88" s="4" t="n">
        <f aca="false">(IF(AC88=99999,0,AC88))+((IF(AF88=99999,0,AF88))/AE88)+AG88+(AJ88/AI88)+(IF(AK88=99999,0,AK88))</f>
        <v>1306.00669833466</v>
      </c>
      <c r="AM88" s="4" t="n">
        <f aca="false">AL88+AB88</f>
        <v>1386.00669833466</v>
      </c>
      <c r="AN88" s="8" t="s">
        <v>385</v>
      </c>
      <c r="AO88" s="8" t="s">
        <v>237</v>
      </c>
      <c r="AP88" s="24" t="e">
        <f aca="false">(IF((F88="Port to Port"),(IF(AND(AC88=99999,OR(AF88="",AF88=99999),AG88="",AJ88="",AK88=99999,#REF!="",#REF!="",#REF!="",#REF!="",#REF!="",#REF!="",AN88&lt;&gt;"",#REF!&lt;&gt;"",#REF!="",#REF!="",AO88&lt;&gt;"",#REF!&lt;&gt;"",#REF!="",#REF!="",#REF!="",#REF!=""),"No Bid",IF(AND(AC88=99999,OR(AF88&lt;&gt;"",AF88=99999),AG88&lt;&gt;"",AJ88&lt;&gt;"",AK88=99999,#REF!&lt;&gt;"",#REF!&lt;&gt;"",#REF!&lt;&gt;"",#REF!&lt;&gt;"",#REF!&lt;&gt;"",#REF!&lt;&gt;"",AN88&lt;&gt;"",#REF!&lt;&gt;"",#REF!="",#REF!="",AO88&lt;&gt;"",#REF!&lt;&gt;"",#REF!="",#REF!="",#REF!&lt;&gt;"",(IF((OR(#REF!="No Trans-Shipments",#REF!="")),(AND(#REF!="",#REF!="")),(IF(#REF!="1 Trans-Shipment",(AND(#REF!&lt;&gt;"",#REF!="")),(AND(#REF!&lt;&gt;"",#REF!&lt;&gt;"")))))),#REF!&lt;&gt;""),"Complete Bid","Incomplete Bid")))))</f>
        <v>#REF!</v>
      </c>
      <c r="AQ88" s="25" t="n">
        <f aca="false">(IF((F88="Door to Port"),(IF(AND(AC88="",AF88="",AG88="",AJ88="",AK88=99999,#REF!="",#REF!="",#REF!="",#REF!="",#REF!="",#REF!="",AN88="",#REF!="",#REF!="",#REF!="",AO88&lt;&gt;"",#REF!&lt;&gt;"",#REF!="",#REF!="",#REF!="",#REF!=""),"No Bid",IF(AND(AC88&lt;&gt;"",AF88&lt;&gt;"",AG88&lt;&gt;"",AJ88&lt;&gt;"",AK88=99999,#REF!&lt;&gt;"",#REF!&lt;&gt;"",#REF!&lt;&gt;"",#REF!&lt;&gt;"",#REF!&lt;&gt;"",#REF!&lt;&gt;"",AN88&lt;&gt;"",#REF!&lt;&gt;"",OR(#REF!="",#REF!&lt;&gt;""),#REF!&lt;&gt;"",AO88&lt;&gt;"",#REF!&lt;&gt;"",#REF!="",#REF!="",#REF!&lt;&gt;"",(IF((OR((#REF!="No Trans-Shipments"),(#REF!=""))),(AND(#REF!="",#REF!="")),(IF(#REF!="1 Trans-Shipment",(AND(#REF!&lt;&gt;"",#REF!="")),(AND(#REF!&lt;&gt;"",#REF!&lt;&gt;"")))))),#REF!&lt;&gt;""),"Complete Bid","Incomplete Bid")))))</f>
        <v>0</v>
      </c>
      <c r="AR88" s="25" t="n">
        <f aca="false">(IF((F88="Port to Door"),(IF(AND(AC88=99999,OR(AF88="",AF88=99999),AG88="",AJ88="",AK88="",#REF!="",#REF!="",#REF!="",#REF!="",#REF!="",#REF!="",AN88&lt;&gt;"",#REF!&lt;&gt;"",#REF!="",#REF!="",AO88="",#REF!="",#REF!="",#REF!="",#REF!="",#REF!=""),"No Bid",IF(AND(AC88=99999,OR(AF88&lt;&gt;"",AF88=99999),AG88&lt;&gt;"",AJ88&lt;&gt;"",AK88&lt;&gt;"",#REF!&lt;&gt;"",#REF!&lt;&gt;"",#REF!&lt;&gt;"",#REF!&lt;&gt;"",#REF!&lt;&gt;"",#REF!&lt;&gt;"",AN88&lt;&gt;"",#REF!&lt;&gt;"",#REF!="",#REF!="",AO88&lt;&gt;"",#REF!&lt;&gt;"",OR(#REF!&lt;&gt;"",#REF!=""),#REF!&lt;&gt;"",#REF!&lt;&gt;"",(IF((OR(#REF!="No Trans-Shipments",#REF!="")),(AND(#REF!="",#REF!="")),(IF(#REF!="1 Trans-Shipment",(AND(#REF!&lt;&gt;"",#REF!="")),(AND(#REF!&lt;&gt;"",#REF!&lt;&gt;"")))))),#REF!&lt;&gt;""),"Complete Bid","Incomplete Bid")))))</f>
        <v>0</v>
      </c>
      <c r="AS88" s="25" t="n">
        <f aca="false">(IF((F88="Door to Door"),(IF(AND(AC88="",AF88="",AG88="",AJ88="",AK88="",#REF!="",#REF!="",#REF!="",#REF!="",#REF!="",#REF!="",AN88="",#REF!="",#REF!="",#REF!="",AO88="",#REF!="",#REF!="",#REF!="",#REF!="",#REF!=""),"No Bid",IF(AND(AC88&lt;&gt;"",AF88&lt;&gt;"",AG88&lt;&gt;"",AJ88&lt;&gt;"",AK88&lt;&gt;"",#REF!&lt;&gt;"",#REF!&lt;&gt;"",#REF!&lt;&gt;"",#REF!&lt;&gt;"",#REF!&lt;&gt;"",#REF!&lt;&gt;"",AN88&lt;&gt;"",#REF!&lt;&gt;"",OR(#REF!&lt;&gt;"",#REF!=""),#REF!&lt;&gt;"",AO88&lt;&gt;"",#REF!&lt;&gt;"",OR(#REF!&lt;&gt;"",#REF!=""),#REF!&lt;&gt;"",#REF!&lt;&gt;"",(IF((OR(#REF!="No Trans-Shipments",#REF!="")),(AND(#REF!="",#REF!="")),(IF(#REF!="1 Trans-Shipment",(AND(#REF!&lt;&gt;"",#REF!="")),(AND(#REF!&lt;&gt;"",#REF!&lt;&gt;"")))))),#REF!&lt;&gt;""),"Complete Bid","Incomplete Bid")))))</f>
        <v>0</v>
      </c>
    </row>
    <row r="89" customFormat="false" ht="12.75" hidden="false" customHeight="true" outlineLevel="0" collapsed="false">
      <c r="A89" s="2" t="s">
        <v>56</v>
      </c>
      <c r="B89" s="23" t="s">
        <v>421</v>
      </c>
      <c r="C89" s="3" t="s">
        <v>58</v>
      </c>
      <c r="D89" s="3" t="s">
        <v>422</v>
      </c>
      <c r="E89" s="3" t="s">
        <v>145</v>
      </c>
      <c r="F89" s="3" t="s">
        <v>61</v>
      </c>
      <c r="G89" s="3" t="s">
        <v>384</v>
      </c>
      <c r="H89" s="3" t="s">
        <v>58</v>
      </c>
      <c r="I89" s="3" t="s">
        <v>162</v>
      </c>
      <c r="J89" s="3" t="s">
        <v>385</v>
      </c>
      <c r="K89" s="3" t="s">
        <v>58</v>
      </c>
      <c r="L89" s="3" t="s">
        <v>86</v>
      </c>
      <c r="M89" s="3" t="s">
        <v>245</v>
      </c>
      <c r="N89" s="3" t="s">
        <v>66</v>
      </c>
      <c r="O89" s="3" t="s">
        <v>169</v>
      </c>
      <c r="P89" s="3" t="s">
        <v>68</v>
      </c>
      <c r="Q89" s="3"/>
      <c r="R89" s="3" t="s">
        <v>386</v>
      </c>
      <c r="S89" s="3"/>
      <c r="T89" s="3" t="s">
        <v>89</v>
      </c>
      <c r="U89" s="3"/>
      <c r="V89" s="4" t="n">
        <v>0</v>
      </c>
      <c r="W89" s="4"/>
      <c r="X89" s="4" t="n">
        <v>7</v>
      </c>
      <c r="Y89" s="4" t="n">
        <v>10</v>
      </c>
      <c r="Z89" s="4" t="n">
        <v>5</v>
      </c>
      <c r="AA89" s="4" t="n">
        <v>30</v>
      </c>
      <c r="AB89" s="4" t="n">
        <v>271</v>
      </c>
      <c r="AC89" s="5" t="n">
        <v>99999</v>
      </c>
      <c r="AD89" s="3" t="s">
        <v>165</v>
      </c>
      <c r="AE89" s="6" t="n">
        <v>22841.4983333333</v>
      </c>
      <c r="AF89" s="5" t="n">
        <v>154</v>
      </c>
      <c r="AG89" s="5" t="n">
        <v>1307</v>
      </c>
      <c r="AH89" s="3" t="s">
        <v>91</v>
      </c>
      <c r="AI89" s="6" t="n">
        <v>1.3964683333</v>
      </c>
      <c r="AJ89" s="7"/>
      <c r="AK89" s="5" t="n">
        <v>99999</v>
      </c>
      <c r="AL89" s="4" t="n">
        <f aca="false">(IF(AC89=99999,0,AC89))+((IF(AF89=99999,0,AF89))/AE89)+AG89+(AJ89/AI89)+(IF(AK89=99999,0,AK89))</f>
        <v>1307.00674211463</v>
      </c>
      <c r="AM89" s="4" t="n">
        <f aca="false">AL89+AB89</f>
        <v>1578.00674211463</v>
      </c>
      <c r="AN89" s="8" t="s">
        <v>385</v>
      </c>
      <c r="AO89" s="8" t="s">
        <v>245</v>
      </c>
      <c r="AP89" s="24" t="e">
        <f aca="false">(IF((F89="Port to Port"),(IF(AND(AC89=99999,OR(AF89="",AF89=99999),AG89="",AJ89="",AK89=99999,#REF!="",#REF!="",#REF!="",#REF!="",#REF!="",#REF!="",AN89&lt;&gt;"",#REF!&lt;&gt;"",#REF!="",#REF!="",AO89&lt;&gt;"",#REF!&lt;&gt;"",#REF!="",#REF!="",#REF!="",#REF!=""),"No Bid",IF(AND(AC89=99999,OR(AF89&lt;&gt;"",AF89=99999),AG89&lt;&gt;"",AJ89&lt;&gt;"",AK89=99999,#REF!&lt;&gt;"",#REF!&lt;&gt;"",#REF!&lt;&gt;"",#REF!&lt;&gt;"",#REF!&lt;&gt;"",#REF!&lt;&gt;"",AN89&lt;&gt;"",#REF!&lt;&gt;"",#REF!="",#REF!="",AO89&lt;&gt;"",#REF!&lt;&gt;"",#REF!="",#REF!="",#REF!&lt;&gt;"",(IF((OR(#REF!="No Trans-Shipments",#REF!="")),(AND(#REF!="",#REF!="")),(IF(#REF!="1 Trans-Shipment",(AND(#REF!&lt;&gt;"",#REF!="")),(AND(#REF!&lt;&gt;"",#REF!&lt;&gt;"")))))),#REF!&lt;&gt;""),"Complete Bid","Incomplete Bid")))))</f>
        <v>#REF!</v>
      </c>
      <c r="AQ89" s="25" t="n">
        <f aca="false">(IF((F89="Door to Port"),(IF(AND(AC89="",AF89="",AG89="",AJ89="",AK89=99999,#REF!="",#REF!="",#REF!="",#REF!="",#REF!="",#REF!="",AN89="",#REF!="",#REF!="",#REF!="",AO89&lt;&gt;"",#REF!&lt;&gt;"",#REF!="",#REF!="",#REF!="",#REF!=""),"No Bid",IF(AND(AC89&lt;&gt;"",AF89&lt;&gt;"",AG89&lt;&gt;"",AJ89&lt;&gt;"",AK89=99999,#REF!&lt;&gt;"",#REF!&lt;&gt;"",#REF!&lt;&gt;"",#REF!&lt;&gt;"",#REF!&lt;&gt;"",#REF!&lt;&gt;"",AN89&lt;&gt;"",#REF!&lt;&gt;"",OR(#REF!="",#REF!&lt;&gt;""),#REF!&lt;&gt;"",AO89&lt;&gt;"",#REF!&lt;&gt;"",#REF!="",#REF!="",#REF!&lt;&gt;"",(IF((OR((#REF!="No Trans-Shipments"),(#REF!=""))),(AND(#REF!="",#REF!="")),(IF(#REF!="1 Trans-Shipment",(AND(#REF!&lt;&gt;"",#REF!="")),(AND(#REF!&lt;&gt;"",#REF!&lt;&gt;"")))))),#REF!&lt;&gt;""),"Complete Bid","Incomplete Bid")))))</f>
        <v>0</v>
      </c>
      <c r="AR89" s="25" t="n">
        <f aca="false">(IF((F89="Port to Door"),(IF(AND(AC89=99999,OR(AF89="",AF89=99999),AG89="",AJ89="",AK89="",#REF!="",#REF!="",#REF!="",#REF!="",#REF!="",#REF!="",AN89&lt;&gt;"",#REF!&lt;&gt;"",#REF!="",#REF!="",AO89="",#REF!="",#REF!="",#REF!="",#REF!="",#REF!=""),"No Bid",IF(AND(AC89=99999,OR(AF89&lt;&gt;"",AF89=99999),AG89&lt;&gt;"",AJ89&lt;&gt;"",AK89&lt;&gt;"",#REF!&lt;&gt;"",#REF!&lt;&gt;"",#REF!&lt;&gt;"",#REF!&lt;&gt;"",#REF!&lt;&gt;"",#REF!&lt;&gt;"",AN89&lt;&gt;"",#REF!&lt;&gt;"",#REF!="",#REF!="",AO89&lt;&gt;"",#REF!&lt;&gt;"",OR(#REF!&lt;&gt;"",#REF!=""),#REF!&lt;&gt;"",#REF!&lt;&gt;"",(IF((OR(#REF!="No Trans-Shipments",#REF!="")),(AND(#REF!="",#REF!="")),(IF(#REF!="1 Trans-Shipment",(AND(#REF!&lt;&gt;"",#REF!="")),(AND(#REF!&lt;&gt;"",#REF!&lt;&gt;"")))))),#REF!&lt;&gt;""),"Complete Bid","Incomplete Bid")))))</f>
        <v>0</v>
      </c>
      <c r="AS89" s="25" t="n">
        <f aca="false">(IF((F89="Door to Door"),(IF(AND(AC89="",AF89="",AG89="",AJ89="",AK89="",#REF!="",#REF!="",#REF!="",#REF!="",#REF!="",#REF!="",AN89="",#REF!="",#REF!="",#REF!="",AO89="",#REF!="",#REF!="",#REF!="",#REF!="",#REF!=""),"No Bid",IF(AND(AC89&lt;&gt;"",AF89&lt;&gt;"",AG89&lt;&gt;"",AJ89&lt;&gt;"",AK89&lt;&gt;"",#REF!&lt;&gt;"",#REF!&lt;&gt;"",#REF!&lt;&gt;"",#REF!&lt;&gt;"",#REF!&lt;&gt;"",#REF!&lt;&gt;"",AN89&lt;&gt;"",#REF!&lt;&gt;"",OR(#REF!&lt;&gt;"",#REF!=""),#REF!&lt;&gt;"",AO89&lt;&gt;"",#REF!&lt;&gt;"",OR(#REF!&lt;&gt;"",#REF!=""),#REF!&lt;&gt;"",#REF!&lt;&gt;"",(IF((OR(#REF!="No Trans-Shipments",#REF!="")),(AND(#REF!="",#REF!="")),(IF(#REF!="1 Trans-Shipment",(AND(#REF!&lt;&gt;"",#REF!="")),(AND(#REF!&lt;&gt;"",#REF!&lt;&gt;"")))))),#REF!&lt;&gt;""),"Complete Bid","Incomplete Bid")))))</f>
        <v>0</v>
      </c>
    </row>
    <row r="90" customFormat="false" ht="12.75" hidden="false" customHeight="true" outlineLevel="0" collapsed="false">
      <c r="A90" s="2" t="s">
        <v>56</v>
      </c>
      <c r="B90" s="23" t="s">
        <v>423</v>
      </c>
      <c r="C90" s="3" t="s">
        <v>58</v>
      </c>
      <c r="D90" s="3" t="s">
        <v>424</v>
      </c>
      <c r="E90" s="3" t="s">
        <v>145</v>
      </c>
      <c r="F90" s="3" t="s">
        <v>61</v>
      </c>
      <c r="G90" s="3" t="s">
        <v>384</v>
      </c>
      <c r="H90" s="3" t="s">
        <v>58</v>
      </c>
      <c r="I90" s="3" t="s">
        <v>162</v>
      </c>
      <c r="J90" s="3" t="s">
        <v>385</v>
      </c>
      <c r="K90" s="3" t="s">
        <v>58</v>
      </c>
      <c r="L90" s="3" t="s">
        <v>86</v>
      </c>
      <c r="M90" s="3" t="s">
        <v>245</v>
      </c>
      <c r="N90" s="3" t="s">
        <v>80</v>
      </c>
      <c r="O90" s="3" t="s">
        <v>169</v>
      </c>
      <c r="P90" s="3" t="s">
        <v>68</v>
      </c>
      <c r="Q90" s="3"/>
      <c r="R90" s="3" t="s">
        <v>386</v>
      </c>
      <c r="S90" s="3"/>
      <c r="T90" s="3" t="s">
        <v>89</v>
      </c>
      <c r="U90" s="3"/>
      <c r="V90" s="4" t="n">
        <v>181</v>
      </c>
      <c r="W90" s="4" t="s">
        <v>425</v>
      </c>
      <c r="X90" s="4" t="n">
        <v>7</v>
      </c>
      <c r="Y90" s="4" t="n">
        <v>10</v>
      </c>
      <c r="Z90" s="4" t="n">
        <v>5</v>
      </c>
      <c r="AA90" s="4" t="n">
        <v>30</v>
      </c>
      <c r="AB90" s="4" t="n">
        <v>542</v>
      </c>
      <c r="AC90" s="5" t="n">
        <v>99999</v>
      </c>
      <c r="AD90" s="3" t="s">
        <v>165</v>
      </c>
      <c r="AE90" s="6" t="n">
        <v>22841.4983333333</v>
      </c>
      <c r="AF90" s="5" t="n">
        <v>155</v>
      </c>
      <c r="AG90" s="5" t="n">
        <v>1308</v>
      </c>
      <c r="AH90" s="3" t="s">
        <v>91</v>
      </c>
      <c r="AI90" s="6" t="n">
        <v>1.3964683333</v>
      </c>
      <c r="AJ90" s="7"/>
      <c r="AK90" s="5" t="n">
        <v>99999</v>
      </c>
      <c r="AL90" s="4" t="n">
        <f aca="false">(IF(AC90=99999,0,AC90))+((IF(AF90=99999,0,AF90))/AE90)+AG90+(AJ90/AI90)+(IF(AK90=99999,0,AK90))</f>
        <v>1308.00678589459</v>
      </c>
      <c r="AM90" s="4" t="n">
        <f aca="false">AL90+AB90</f>
        <v>1850.00678589459</v>
      </c>
      <c r="AN90" s="8" t="s">
        <v>385</v>
      </c>
      <c r="AO90" s="8" t="s">
        <v>245</v>
      </c>
      <c r="AP90" s="24" t="e">
        <f aca="false">(IF((F90="Port to Port"),(IF(AND(AC90=99999,OR(AF90="",AF90=99999),AG90="",AJ90="",AK90=99999,#REF!="",#REF!="",#REF!="",#REF!="",#REF!="",#REF!="",AN90&lt;&gt;"",#REF!&lt;&gt;"",#REF!="",#REF!="",AO90&lt;&gt;"",#REF!&lt;&gt;"",#REF!="",#REF!="",#REF!="",#REF!=""),"No Bid",IF(AND(AC90=99999,OR(AF90&lt;&gt;"",AF90=99999),AG90&lt;&gt;"",AJ90&lt;&gt;"",AK90=99999,#REF!&lt;&gt;"",#REF!&lt;&gt;"",#REF!&lt;&gt;"",#REF!&lt;&gt;"",#REF!&lt;&gt;"",#REF!&lt;&gt;"",AN90&lt;&gt;"",#REF!&lt;&gt;"",#REF!="",#REF!="",AO90&lt;&gt;"",#REF!&lt;&gt;"",#REF!="",#REF!="",#REF!&lt;&gt;"",(IF((OR(#REF!="No Trans-Shipments",#REF!="")),(AND(#REF!="",#REF!="")),(IF(#REF!="1 Trans-Shipment",(AND(#REF!&lt;&gt;"",#REF!="")),(AND(#REF!&lt;&gt;"",#REF!&lt;&gt;"")))))),#REF!&lt;&gt;""),"Complete Bid","Incomplete Bid")))))</f>
        <v>#REF!</v>
      </c>
      <c r="AQ90" s="25" t="n">
        <f aca="false">(IF((F90="Door to Port"),(IF(AND(AC90="",AF90="",AG90="",AJ90="",AK90=99999,#REF!="",#REF!="",#REF!="",#REF!="",#REF!="",#REF!="",AN90="",#REF!="",#REF!="",#REF!="",AO90&lt;&gt;"",#REF!&lt;&gt;"",#REF!="",#REF!="",#REF!="",#REF!=""),"No Bid",IF(AND(AC90&lt;&gt;"",AF90&lt;&gt;"",AG90&lt;&gt;"",AJ90&lt;&gt;"",AK90=99999,#REF!&lt;&gt;"",#REF!&lt;&gt;"",#REF!&lt;&gt;"",#REF!&lt;&gt;"",#REF!&lt;&gt;"",#REF!&lt;&gt;"",AN90&lt;&gt;"",#REF!&lt;&gt;"",OR(#REF!="",#REF!&lt;&gt;""),#REF!&lt;&gt;"",AO90&lt;&gt;"",#REF!&lt;&gt;"",#REF!="",#REF!="",#REF!&lt;&gt;"",(IF((OR((#REF!="No Trans-Shipments"),(#REF!=""))),(AND(#REF!="",#REF!="")),(IF(#REF!="1 Trans-Shipment",(AND(#REF!&lt;&gt;"",#REF!="")),(AND(#REF!&lt;&gt;"",#REF!&lt;&gt;"")))))),#REF!&lt;&gt;""),"Complete Bid","Incomplete Bid")))))</f>
        <v>0</v>
      </c>
      <c r="AR90" s="25" t="n">
        <f aca="false">(IF((F90="Port to Door"),(IF(AND(AC90=99999,OR(AF90="",AF90=99999),AG90="",AJ90="",AK90="",#REF!="",#REF!="",#REF!="",#REF!="",#REF!="",#REF!="",AN90&lt;&gt;"",#REF!&lt;&gt;"",#REF!="",#REF!="",AO90="",#REF!="",#REF!="",#REF!="",#REF!="",#REF!=""),"No Bid",IF(AND(AC90=99999,OR(AF90&lt;&gt;"",AF90=99999),AG90&lt;&gt;"",AJ90&lt;&gt;"",AK90&lt;&gt;"",#REF!&lt;&gt;"",#REF!&lt;&gt;"",#REF!&lt;&gt;"",#REF!&lt;&gt;"",#REF!&lt;&gt;"",#REF!&lt;&gt;"",AN90&lt;&gt;"",#REF!&lt;&gt;"",#REF!="",#REF!="",AO90&lt;&gt;"",#REF!&lt;&gt;"",OR(#REF!&lt;&gt;"",#REF!=""),#REF!&lt;&gt;"",#REF!&lt;&gt;"",(IF((OR(#REF!="No Trans-Shipments",#REF!="")),(AND(#REF!="",#REF!="")),(IF(#REF!="1 Trans-Shipment",(AND(#REF!&lt;&gt;"",#REF!="")),(AND(#REF!&lt;&gt;"",#REF!&lt;&gt;"")))))),#REF!&lt;&gt;""),"Complete Bid","Incomplete Bid")))))</f>
        <v>0</v>
      </c>
      <c r="AS90" s="25" t="n">
        <f aca="false">(IF((F90="Door to Door"),(IF(AND(AC90="",AF90="",AG90="",AJ90="",AK90="",#REF!="",#REF!="",#REF!="",#REF!="",#REF!="",#REF!="",AN90="",#REF!="",#REF!="",#REF!="",AO90="",#REF!="",#REF!="",#REF!="",#REF!="",#REF!=""),"No Bid",IF(AND(AC90&lt;&gt;"",AF90&lt;&gt;"",AG90&lt;&gt;"",AJ90&lt;&gt;"",AK90&lt;&gt;"",#REF!&lt;&gt;"",#REF!&lt;&gt;"",#REF!&lt;&gt;"",#REF!&lt;&gt;"",#REF!&lt;&gt;"",#REF!&lt;&gt;"",AN90&lt;&gt;"",#REF!&lt;&gt;"",OR(#REF!&lt;&gt;"",#REF!=""),#REF!&lt;&gt;"",AO90&lt;&gt;"",#REF!&lt;&gt;"",OR(#REF!&lt;&gt;"",#REF!=""),#REF!&lt;&gt;"",#REF!&lt;&gt;"",(IF((OR(#REF!="No Trans-Shipments",#REF!="")),(AND(#REF!="",#REF!="")),(IF(#REF!="1 Trans-Shipment",(AND(#REF!&lt;&gt;"",#REF!="")),(AND(#REF!&lt;&gt;"",#REF!&lt;&gt;"")))))),#REF!&lt;&gt;""),"Complete Bid","Incomplete Bid")))))</f>
        <v>0</v>
      </c>
    </row>
    <row r="91" customFormat="false" ht="12.75" hidden="false" customHeight="true" outlineLevel="0" collapsed="false">
      <c r="A91" s="2" t="s">
        <v>56</v>
      </c>
      <c r="B91" s="23" t="s">
        <v>426</v>
      </c>
      <c r="C91" s="3" t="s">
        <v>58</v>
      </c>
      <c r="D91" s="3" t="s">
        <v>427</v>
      </c>
      <c r="E91" s="3" t="s">
        <v>253</v>
      </c>
      <c r="F91" s="3" t="s">
        <v>61</v>
      </c>
      <c r="G91" s="3" t="s">
        <v>62</v>
      </c>
      <c r="H91" s="3" t="s">
        <v>58</v>
      </c>
      <c r="I91" s="3" t="s">
        <v>162</v>
      </c>
      <c r="J91" s="3" t="s">
        <v>385</v>
      </c>
      <c r="K91" s="3" t="s">
        <v>58</v>
      </c>
      <c r="L91" s="3" t="s">
        <v>255</v>
      </c>
      <c r="M91" s="3" t="s">
        <v>256</v>
      </c>
      <c r="N91" s="3" t="s">
        <v>66</v>
      </c>
      <c r="O91" s="3" t="s">
        <v>257</v>
      </c>
      <c r="P91" s="3" t="s">
        <v>68</v>
      </c>
      <c r="Q91" s="3"/>
      <c r="R91" s="3" t="s">
        <v>428</v>
      </c>
      <c r="S91" s="3" t="s">
        <v>429</v>
      </c>
      <c r="T91" s="3" t="s">
        <v>430</v>
      </c>
      <c r="U91" s="3" t="s">
        <v>261</v>
      </c>
      <c r="V91" s="4" t="n">
        <v>5</v>
      </c>
      <c r="W91" s="4"/>
      <c r="X91" s="4" t="n">
        <v>7</v>
      </c>
      <c r="Y91" s="4" t="n">
        <v>10</v>
      </c>
      <c r="Z91" s="4" t="n">
        <v>5</v>
      </c>
      <c r="AA91" s="4" t="n">
        <v>21</v>
      </c>
      <c r="AB91" s="4" t="n">
        <v>271</v>
      </c>
      <c r="AC91" s="5" t="n">
        <v>99999</v>
      </c>
      <c r="AD91" s="3" t="s">
        <v>165</v>
      </c>
      <c r="AE91" s="6" t="n">
        <v>22841.4983333333</v>
      </c>
      <c r="AF91" s="5" t="n">
        <v>156</v>
      </c>
      <c r="AG91" s="5" t="n">
        <v>1309</v>
      </c>
      <c r="AH91" s="3" t="s">
        <v>262</v>
      </c>
      <c r="AI91" s="6" t="n">
        <v>76.7508395833</v>
      </c>
      <c r="AJ91" s="7"/>
      <c r="AK91" s="5" t="n">
        <v>99999</v>
      </c>
      <c r="AL91" s="4" t="n">
        <f aca="false">(IF(AC91=99999,0,AC91))+((IF(AF91=99999,0,AF91))/AE91)+AG91+(AJ91/AI91)+(IF(AK91=99999,0,AK91))</f>
        <v>1309.00682967456</v>
      </c>
      <c r="AM91" s="4" t="n">
        <f aca="false">AL91+AB91</f>
        <v>1580.00682967456</v>
      </c>
      <c r="AN91" s="8" t="s">
        <v>385</v>
      </c>
      <c r="AO91" s="8" t="s">
        <v>256</v>
      </c>
      <c r="AP91" s="24" t="e">
        <f aca="false">(IF((F91="Port to Port"),(IF(AND(AC91=99999,OR(AF91="",AF91=99999),AG91="",AJ91="",AK91=99999,#REF!="",#REF!="",#REF!="",#REF!="",#REF!="",#REF!="",AN91&lt;&gt;"",#REF!&lt;&gt;"",#REF!="",#REF!="",AO91&lt;&gt;"",#REF!&lt;&gt;"",#REF!="",#REF!="",#REF!="",#REF!=""),"No Bid",IF(AND(AC91=99999,OR(AF91&lt;&gt;"",AF91=99999),AG91&lt;&gt;"",AJ91&lt;&gt;"",AK91=99999,#REF!&lt;&gt;"",#REF!&lt;&gt;"",#REF!&lt;&gt;"",#REF!&lt;&gt;"",#REF!&lt;&gt;"",#REF!&lt;&gt;"",AN91&lt;&gt;"",#REF!&lt;&gt;"",#REF!="",#REF!="",AO91&lt;&gt;"",#REF!&lt;&gt;"",#REF!="",#REF!="",#REF!&lt;&gt;"",(IF((OR(#REF!="No Trans-Shipments",#REF!="")),(AND(#REF!="",#REF!="")),(IF(#REF!="1 Trans-Shipment",(AND(#REF!&lt;&gt;"",#REF!="")),(AND(#REF!&lt;&gt;"",#REF!&lt;&gt;"")))))),#REF!&lt;&gt;""),"Complete Bid","Incomplete Bid")))))</f>
        <v>#REF!</v>
      </c>
      <c r="AQ91" s="25" t="n">
        <f aca="false">(IF((F91="Door to Port"),(IF(AND(AC91="",AF91="",AG91="",AJ91="",AK91=99999,#REF!="",#REF!="",#REF!="",#REF!="",#REF!="",#REF!="",AN91="",#REF!="",#REF!="",#REF!="",AO91&lt;&gt;"",#REF!&lt;&gt;"",#REF!="",#REF!="",#REF!="",#REF!=""),"No Bid",IF(AND(AC91&lt;&gt;"",AF91&lt;&gt;"",AG91&lt;&gt;"",AJ91&lt;&gt;"",AK91=99999,#REF!&lt;&gt;"",#REF!&lt;&gt;"",#REF!&lt;&gt;"",#REF!&lt;&gt;"",#REF!&lt;&gt;"",#REF!&lt;&gt;"",AN91&lt;&gt;"",#REF!&lt;&gt;"",OR(#REF!="",#REF!&lt;&gt;""),#REF!&lt;&gt;"",AO91&lt;&gt;"",#REF!&lt;&gt;"",#REF!="",#REF!="",#REF!&lt;&gt;"",(IF((OR((#REF!="No Trans-Shipments"),(#REF!=""))),(AND(#REF!="",#REF!="")),(IF(#REF!="1 Trans-Shipment",(AND(#REF!&lt;&gt;"",#REF!="")),(AND(#REF!&lt;&gt;"",#REF!&lt;&gt;"")))))),#REF!&lt;&gt;""),"Complete Bid","Incomplete Bid")))))</f>
        <v>0</v>
      </c>
      <c r="AR91" s="25" t="n">
        <f aca="false">(IF((F91="Port to Door"),(IF(AND(AC91=99999,OR(AF91="",AF91=99999),AG91="",AJ91="",AK91="",#REF!="",#REF!="",#REF!="",#REF!="",#REF!="",#REF!="",AN91&lt;&gt;"",#REF!&lt;&gt;"",#REF!="",#REF!="",AO91="",#REF!="",#REF!="",#REF!="",#REF!="",#REF!=""),"No Bid",IF(AND(AC91=99999,OR(AF91&lt;&gt;"",AF91=99999),AG91&lt;&gt;"",AJ91&lt;&gt;"",AK91&lt;&gt;"",#REF!&lt;&gt;"",#REF!&lt;&gt;"",#REF!&lt;&gt;"",#REF!&lt;&gt;"",#REF!&lt;&gt;"",#REF!&lt;&gt;"",AN91&lt;&gt;"",#REF!&lt;&gt;"",#REF!="",#REF!="",AO91&lt;&gt;"",#REF!&lt;&gt;"",OR(#REF!&lt;&gt;"",#REF!=""),#REF!&lt;&gt;"",#REF!&lt;&gt;"",(IF((OR(#REF!="No Trans-Shipments",#REF!="")),(AND(#REF!="",#REF!="")),(IF(#REF!="1 Trans-Shipment",(AND(#REF!&lt;&gt;"",#REF!="")),(AND(#REF!&lt;&gt;"",#REF!&lt;&gt;"")))))),#REF!&lt;&gt;""),"Complete Bid","Incomplete Bid")))))</f>
        <v>0</v>
      </c>
      <c r="AS91" s="25" t="n">
        <f aca="false">(IF((F91="Door to Door"),(IF(AND(AC91="",AF91="",AG91="",AJ91="",AK91="",#REF!="",#REF!="",#REF!="",#REF!="",#REF!="",#REF!="",AN91="",#REF!="",#REF!="",#REF!="",AO91="",#REF!="",#REF!="",#REF!="",#REF!="",#REF!=""),"No Bid",IF(AND(AC91&lt;&gt;"",AF91&lt;&gt;"",AG91&lt;&gt;"",AJ91&lt;&gt;"",AK91&lt;&gt;"",#REF!&lt;&gt;"",#REF!&lt;&gt;"",#REF!&lt;&gt;"",#REF!&lt;&gt;"",#REF!&lt;&gt;"",#REF!&lt;&gt;"",AN91&lt;&gt;"",#REF!&lt;&gt;"",OR(#REF!&lt;&gt;"",#REF!=""),#REF!&lt;&gt;"",AO91&lt;&gt;"",#REF!&lt;&gt;"",OR(#REF!&lt;&gt;"",#REF!=""),#REF!&lt;&gt;"",#REF!&lt;&gt;"",(IF((OR(#REF!="No Trans-Shipments",#REF!="")),(AND(#REF!="",#REF!="")),(IF(#REF!="1 Trans-Shipment",(AND(#REF!&lt;&gt;"",#REF!="")),(AND(#REF!&lt;&gt;"",#REF!&lt;&gt;"")))))),#REF!&lt;&gt;""),"Complete Bid","Incomplete Bid")))))</f>
        <v>0</v>
      </c>
    </row>
    <row r="92" customFormat="false" ht="12.75" hidden="false" customHeight="true" outlineLevel="0" collapsed="false">
      <c r="A92" s="2" t="s">
        <v>56</v>
      </c>
      <c r="B92" s="23" t="s">
        <v>431</v>
      </c>
      <c r="C92" s="3" t="s">
        <v>58</v>
      </c>
      <c r="D92" s="3" t="s">
        <v>432</v>
      </c>
      <c r="E92" s="3" t="s">
        <v>253</v>
      </c>
      <c r="F92" s="3" t="s">
        <v>61</v>
      </c>
      <c r="G92" s="3" t="s">
        <v>62</v>
      </c>
      <c r="H92" s="3" t="s">
        <v>58</v>
      </c>
      <c r="I92" s="3" t="s">
        <v>162</v>
      </c>
      <c r="J92" s="3" t="s">
        <v>385</v>
      </c>
      <c r="K92" s="3" t="s">
        <v>58</v>
      </c>
      <c r="L92" s="3" t="s">
        <v>255</v>
      </c>
      <c r="M92" s="3" t="s">
        <v>256</v>
      </c>
      <c r="N92" s="3" t="s">
        <v>80</v>
      </c>
      <c r="O92" s="3" t="s">
        <v>257</v>
      </c>
      <c r="P92" s="3" t="s">
        <v>68</v>
      </c>
      <c r="Q92" s="3"/>
      <c r="R92" s="3" t="s">
        <v>433</v>
      </c>
      <c r="S92" s="3" t="s">
        <v>434</v>
      </c>
      <c r="T92" s="3" t="s">
        <v>430</v>
      </c>
      <c r="U92" s="3" t="s">
        <v>261</v>
      </c>
      <c r="V92" s="4" t="n">
        <v>106</v>
      </c>
      <c r="W92" s="4" t="s">
        <v>435</v>
      </c>
      <c r="X92" s="4" t="n">
        <v>7</v>
      </c>
      <c r="Y92" s="4" t="n">
        <v>10</v>
      </c>
      <c r="Z92" s="4" t="n">
        <v>5</v>
      </c>
      <c r="AA92" s="4" t="n">
        <v>21</v>
      </c>
      <c r="AB92" s="4" t="n">
        <v>542</v>
      </c>
      <c r="AC92" s="5" t="n">
        <v>99999</v>
      </c>
      <c r="AD92" s="3" t="s">
        <v>165</v>
      </c>
      <c r="AE92" s="6" t="n">
        <v>22841.4983333333</v>
      </c>
      <c r="AF92" s="5" t="n">
        <v>157</v>
      </c>
      <c r="AG92" s="5" t="n">
        <v>1310</v>
      </c>
      <c r="AH92" s="3" t="s">
        <v>262</v>
      </c>
      <c r="AI92" s="6" t="n">
        <v>76.7508395833</v>
      </c>
      <c r="AJ92" s="7"/>
      <c r="AK92" s="5" t="n">
        <v>99999</v>
      </c>
      <c r="AL92" s="4" t="n">
        <f aca="false">(IF(AC92=99999,0,AC92))+((IF(AF92=99999,0,AF92))/AE92)+AG92+(AJ92/AI92)+(IF(AK92=99999,0,AK92))</f>
        <v>1310.00687345452</v>
      </c>
      <c r="AM92" s="4" t="n">
        <f aca="false">AL92+AB92</f>
        <v>1852.00687345452</v>
      </c>
      <c r="AN92" s="8" t="s">
        <v>385</v>
      </c>
      <c r="AO92" s="8" t="s">
        <v>256</v>
      </c>
      <c r="AP92" s="24" t="e">
        <f aca="false">(IF((F92="Port to Port"),(IF(AND(AC92=99999,OR(AF92="",AF92=99999),AG92="",AJ92="",AK92=99999,#REF!="",#REF!="",#REF!="",#REF!="",#REF!="",#REF!="",AN92&lt;&gt;"",#REF!&lt;&gt;"",#REF!="",#REF!="",AO92&lt;&gt;"",#REF!&lt;&gt;"",#REF!="",#REF!="",#REF!="",#REF!=""),"No Bid",IF(AND(AC92=99999,OR(AF92&lt;&gt;"",AF92=99999),AG92&lt;&gt;"",AJ92&lt;&gt;"",AK92=99999,#REF!&lt;&gt;"",#REF!&lt;&gt;"",#REF!&lt;&gt;"",#REF!&lt;&gt;"",#REF!&lt;&gt;"",#REF!&lt;&gt;"",AN92&lt;&gt;"",#REF!&lt;&gt;"",#REF!="",#REF!="",AO92&lt;&gt;"",#REF!&lt;&gt;"",#REF!="",#REF!="",#REF!&lt;&gt;"",(IF((OR(#REF!="No Trans-Shipments",#REF!="")),(AND(#REF!="",#REF!="")),(IF(#REF!="1 Trans-Shipment",(AND(#REF!&lt;&gt;"",#REF!="")),(AND(#REF!&lt;&gt;"",#REF!&lt;&gt;"")))))),#REF!&lt;&gt;""),"Complete Bid","Incomplete Bid")))))</f>
        <v>#REF!</v>
      </c>
      <c r="AQ92" s="25" t="n">
        <f aca="false">(IF((F92="Door to Port"),(IF(AND(AC92="",AF92="",AG92="",AJ92="",AK92=99999,#REF!="",#REF!="",#REF!="",#REF!="",#REF!="",#REF!="",AN92="",#REF!="",#REF!="",#REF!="",AO92&lt;&gt;"",#REF!&lt;&gt;"",#REF!="",#REF!="",#REF!="",#REF!=""),"No Bid",IF(AND(AC92&lt;&gt;"",AF92&lt;&gt;"",AG92&lt;&gt;"",AJ92&lt;&gt;"",AK92=99999,#REF!&lt;&gt;"",#REF!&lt;&gt;"",#REF!&lt;&gt;"",#REF!&lt;&gt;"",#REF!&lt;&gt;"",#REF!&lt;&gt;"",AN92&lt;&gt;"",#REF!&lt;&gt;"",OR(#REF!="",#REF!&lt;&gt;""),#REF!&lt;&gt;"",AO92&lt;&gt;"",#REF!&lt;&gt;"",#REF!="",#REF!="",#REF!&lt;&gt;"",(IF((OR((#REF!="No Trans-Shipments"),(#REF!=""))),(AND(#REF!="",#REF!="")),(IF(#REF!="1 Trans-Shipment",(AND(#REF!&lt;&gt;"",#REF!="")),(AND(#REF!&lt;&gt;"",#REF!&lt;&gt;"")))))),#REF!&lt;&gt;""),"Complete Bid","Incomplete Bid")))))</f>
        <v>0</v>
      </c>
      <c r="AR92" s="25" t="n">
        <f aca="false">(IF((F92="Port to Door"),(IF(AND(AC92=99999,OR(AF92="",AF92=99999),AG92="",AJ92="",AK92="",#REF!="",#REF!="",#REF!="",#REF!="",#REF!="",#REF!="",AN92&lt;&gt;"",#REF!&lt;&gt;"",#REF!="",#REF!="",AO92="",#REF!="",#REF!="",#REF!="",#REF!="",#REF!=""),"No Bid",IF(AND(AC92=99999,OR(AF92&lt;&gt;"",AF92=99999),AG92&lt;&gt;"",AJ92&lt;&gt;"",AK92&lt;&gt;"",#REF!&lt;&gt;"",#REF!&lt;&gt;"",#REF!&lt;&gt;"",#REF!&lt;&gt;"",#REF!&lt;&gt;"",#REF!&lt;&gt;"",AN92&lt;&gt;"",#REF!&lt;&gt;"",#REF!="",#REF!="",AO92&lt;&gt;"",#REF!&lt;&gt;"",OR(#REF!&lt;&gt;"",#REF!=""),#REF!&lt;&gt;"",#REF!&lt;&gt;"",(IF((OR(#REF!="No Trans-Shipments",#REF!="")),(AND(#REF!="",#REF!="")),(IF(#REF!="1 Trans-Shipment",(AND(#REF!&lt;&gt;"",#REF!="")),(AND(#REF!&lt;&gt;"",#REF!&lt;&gt;"")))))),#REF!&lt;&gt;""),"Complete Bid","Incomplete Bid")))))</f>
        <v>0</v>
      </c>
      <c r="AS92" s="25" t="n">
        <f aca="false">(IF((F92="Door to Door"),(IF(AND(AC92="",AF92="",AG92="",AJ92="",AK92="",#REF!="",#REF!="",#REF!="",#REF!="",#REF!="",#REF!="",AN92="",#REF!="",#REF!="",#REF!="",AO92="",#REF!="",#REF!="",#REF!="",#REF!="",#REF!=""),"No Bid",IF(AND(AC92&lt;&gt;"",AF92&lt;&gt;"",AG92&lt;&gt;"",AJ92&lt;&gt;"",AK92&lt;&gt;"",#REF!&lt;&gt;"",#REF!&lt;&gt;"",#REF!&lt;&gt;"",#REF!&lt;&gt;"",#REF!&lt;&gt;"",#REF!&lt;&gt;"",AN92&lt;&gt;"",#REF!&lt;&gt;"",OR(#REF!&lt;&gt;"",#REF!=""),#REF!&lt;&gt;"",AO92&lt;&gt;"",#REF!&lt;&gt;"",OR(#REF!&lt;&gt;"",#REF!=""),#REF!&lt;&gt;"",#REF!&lt;&gt;"",(IF((OR(#REF!="No Trans-Shipments",#REF!="")),(AND(#REF!="",#REF!="")),(IF(#REF!="1 Trans-Shipment",(AND(#REF!&lt;&gt;"",#REF!="")),(AND(#REF!&lt;&gt;"",#REF!&lt;&gt;"")))))),#REF!&lt;&gt;""),"Complete Bid","Incomplete Bid")))))</f>
        <v>0</v>
      </c>
    </row>
    <row r="93" customFormat="false" ht="12.75" hidden="false" customHeight="true" outlineLevel="0" collapsed="false">
      <c r="A93" s="2" t="s">
        <v>56</v>
      </c>
      <c r="B93" s="23" t="s">
        <v>436</v>
      </c>
      <c r="C93" s="3" t="s">
        <v>58</v>
      </c>
      <c r="D93" s="3" t="s">
        <v>437</v>
      </c>
      <c r="E93" s="3" t="s">
        <v>120</v>
      </c>
      <c r="F93" s="3" t="s">
        <v>61</v>
      </c>
      <c r="G93" s="3" t="s">
        <v>384</v>
      </c>
      <c r="H93" s="3" t="s">
        <v>58</v>
      </c>
      <c r="I93" s="3" t="s">
        <v>162</v>
      </c>
      <c r="J93" s="3" t="s">
        <v>385</v>
      </c>
      <c r="K93" s="3" t="s">
        <v>58</v>
      </c>
      <c r="L93" s="3" t="s">
        <v>290</v>
      </c>
      <c r="M93" s="3" t="s">
        <v>290</v>
      </c>
      <c r="N93" s="3" t="s">
        <v>66</v>
      </c>
      <c r="O93" s="3"/>
      <c r="P93" s="3" t="s">
        <v>68</v>
      </c>
      <c r="Q93" s="3"/>
      <c r="R93" s="3" t="s">
        <v>386</v>
      </c>
      <c r="S93" s="3"/>
      <c r="T93" s="3" t="s">
        <v>438</v>
      </c>
      <c r="U93" s="3"/>
      <c r="V93" s="4" t="n">
        <v>0</v>
      </c>
      <c r="W93" s="4"/>
      <c r="X93" s="4" t="n">
        <v>7</v>
      </c>
      <c r="Y93" s="4" t="n">
        <v>10</v>
      </c>
      <c r="Z93" s="4" t="n">
        <v>3</v>
      </c>
      <c r="AA93" s="4" t="n">
        <v>21</v>
      </c>
      <c r="AB93" s="4" t="n">
        <v>40</v>
      </c>
      <c r="AC93" s="5" t="n">
        <v>99999</v>
      </c>
      <c r="AD93" s="3" t="s">
        <v>165</v>
      </c>
      <c r="AE93" s="6" t="n">
        <v>22841.4983333333</v>
      </c>
      <c r="AF93" s="5" t="n">
        <v>158</v>
      </c>
      <c r="AG93" s="5" t="n">
        <v>1311</v>
      </c>
      <c r="AH93" s="3" t="s">
        <v>293</v>
      </c>
      <c r="AI93" s="6" t="n">
        <v>1.3630404167</v>
      </c>
      <c r="AJ93" s="7"/>
      <c r="AK93" s="5" t="n">
        <v>99999</v>
      </c>
      <c r="AL93" s="4" t="n">
        <f aca="false">(IF(AC93=99999,0,AC93))+((IF(AF93=99999,0,AF93))/AE93)+AG93+(AJ93/AI93)+(IF(AK93=99999,0,AK93))</f>
        <v>1311.00691723449</v>
      </c>
      <c r="AM93" s="4" t="n">
        <f aca="false">AL93+AB93</f>
        <v>1351.00691723449</v>
      </c>
      <c r="AN93" s="8" t="s">
        <v>385</v>
      </c>
      <c r="AO93" s="8" t="s">
        <v>290</v>
      </c>
      <c r="AP93" s="24" t="e">
        <f aca="false">(IF((F93="Port to Port"),(IF(AND(AC93=99999,OR(AF93="",AF93=99999),AG93="",AJ93="",AK93=99999,#REF!="",#REF!="",#REF!="",#REF!="",#REF!="",#REF!="",AN93&lt;&gt;"",#REF!&lt;&gt;"",#REF!="",#REF!="",AO93&lt;&gt;"",#REF!&lt;&gt;"",#REF!="",#REF!="",#REF!="",#REF!=""),"No Bid",IF(AND(AC93=99999,OR(AF93&lt;&gt;"",AF93=99999),AG93&lt;&gt;"",AJ93&lt;&gt;"",AK93=99999,#REF!&lt;&gt;"",#REF!&lt;&gt;"",#REF!&lt;&gt;"",#REF!&lt;&gt;"",#REF!&lt;&gt;"",#REF!&lt;&gt;"",AN93&lt;&gt;"",#REF!&lt;&gt;"",#REF!="",#REF!="",AO93&lt;&gt;"",#REF!&lt;&gt;"",#REF!="",#REF!="",#REF!&lt;&gt;"",(IF((OR(#REF!="No Trans-Shipments",#REF!="")),(AND(#REF!="",#REF!="")),(IF(#REF!="1 Trans-Shipment",(AND(#REF!&lt;&gt;"",#REF!="")),(AND(#REF!&lt;&gt;"",#REF!&lt;&gt;"")))))),#REF!&lt;&gt;""),"Complete Bid","Incomplete Bid")))))</f>
        <v>#REF!</v>
      </c>
      <c r="AQ93" s="25" t="n">
        <f aca="false">(IF((F93="Door to Port"),(IF(AND(AC93="",AF93="",AG93="",AJ93="",AK93=99999,#REF!="",#REF!="",#REF!="",#REF!="",#REF!="",#REF!="",AN93="",#REF!="",#REF!="",#REF!="",AO93&lt;&gt;"",#REF!&lt;&gt;"",#REF!="",#REF!="",#REF!="",#REF!=""),"No Bid",IF(AND(AC93&lt;&gt;"",AF93&lt;&gt;"",AG93&lt;&gt;"",AJ93&lt;&gt;"",AK93=99999,#REF!&lt;&gt;"",#REF!&lt;&gt;"",#REF!&lt;&gt;"",#REF!&lt;&gt;"",#REF!&lt;&gt;"",#REF!&lt;&gt;"",AN93&lt;&gt;"",#REF!&lt;&gt;"",OR(#REF!="",#REF!&lt;&gt;""),#REF!&lt;&gt;"",AO93&lt;&gt;"",#REF!&lt;&gt;"",#REF!="",#REF!="",#REF!&lt;&gt;"",(IF((OR((#REF!="No Trans-Shipments"),(#REF!=""))),(AND(#REF!="",#REF!="")),(IF(#REF!="1 Trans-Shipment",(AND(#REF!&lt;&gt;"",#REF!="")),(AND(#REF!&lt;&gt;"",#REF!&lt;&gt;"")))))),#REF!&lt;&gt;""),"Complete Bid","Incomplete Bid")))))</f>
        <v>0</v>
      </c>
      <c r="AR93" s="25" t="n">
        <f aca="false">(IF((F93="Port to Door"),(IF(AND(AC93=99999,OR(AF93="",AF93=99999),AG93="",AJ93="",AK93="",#REF!="",#REF!="",#REF!="",#REF!="",#REF!="",#REF!="",AN93&lt;&gt;"",#REF!&lt;&gt;"",#REF!="",#REF!="",AO93="",#REF!="",#REF!="",#REF!="",#REF!="",#REF!=""),"No Bid",IF(AND(AC93=99999,OR(AF93&lt;&gt;"",AF93=99999),AG93&lt;&gt;"",AJ93&lt;&gt;"",AK93&lt;&gt;"",#REF!&lt;&gt;"",#REF!&lt;&gt;"",#REF!&lt;&gt;"",#REF!&lt;&gt;"",#REF!&lt;&gt;"",#REF!&lt;&gt;"",AN93&lt;&gt;"",#REF!&lt;&gt;"",#REF!="",#REF!="",AO93&lt;&gt;"",#REF!&lt;&gt;"",OR(#REF!&lt;&gt;"",#REF!=""),#REF!&lt;&gt;"",#REF!&lt;&gt;"",(IF((OR(#REF!="No Trans-Shipments",#REF!="")),(AND(#REF!="",#REF!="")),(IF(#REF!="1 Trans-Shipment",(AND(#REF!&lt;&gt;"",#REF!="")),(AND(#REF!&lt;&gt;"",#REF!&lt;&gt;"")))))),#REF!&lt;&gt;""),"Complete Bid","Incomplete Bid")))))</f>
        <v>0</v>
      </c>
      <c r="AS93" s="25" t="n">
        <f aca="false">(IF((F93="Door to Door"),(IF(AND(AC93="",AF93="",AG93="",AJ93="",AK93="",#REF!="",#REF!="",#REF!="",#REF!="",#REF!="",#REF!="",AN93="",#REF!="",#REF!="",#REF!="",AO93="",#REF!="",#REF!="",#REF!="",#REF!="",#REF!=""),"No Bid",IF(AND(AC93&lt;&gt;"",AF93&lt;&gt;"",AG93&lt;&gt;"",AJ93&lt;&gt;"",AK93&lt;&gt;"",#REF!&lt;&gt;"",#REF!&lt;&gt;"",#REF!&lt;&gt;"",#REF!&lt;&gt;"",#REF!&lt;&gt;"",#REF!&lt;&gt;"",AN93&lt;&gt;"",#REF!&lt;&gt;"",OR(#REF!&lt;&gt;"",#REF!=""),#REF!&lt;&gt;"",AO93&lt;&gt;"",#REF!&lt;&gt;"",OR(#REF!&lt;&gt;"",#REF!=""),#REF!&lt;&gt;"",#REF!&lt;&gt;"",(IF((OR(#REF!="No Trans-Shipments",#REF!="")),(AND(#REF!="",#REF!="")),(IF(#REF!="1 Trans-Shipment",(AND(#REF!&lt;&gt;"",#REF!="")),(AND(#REF!&lt;&gt;"",#REF!&lt;&gt;"")))))),#REF!&lt;&gt;""),"Complete Bid","Incomplete Bid")))))</f>
        <v>0</v>
      </c>
    </row>
    <row r="94" customFormat="false" ht="12.75" hidden="false" customHeight="true" outlineLevel="0" collapsed="false">
      <c r="A94" s="2" t="s">
        <v>56</v>
      </c>
      <c r="B94" s="23" t="s">
        <v>439</v>
      </c>
      <c r="C94" s="3" t="s">
        <v>58</v>
      </c>
      <c r="D94" s="3" t="s">
        <v>440</v>
      </c>
      <c r="E94" s="3" t="s">
        <v>120</v>
      </c>
      <c r="F94" s="3" t="s">
        <v>61</v>
      </c>
      <c r="G94" s="3" t="s">
        <v>384</v>
      </c>
      <c r="H94" s="3" t="s">
        <v>58</v>
      </c>
      <c r="I94" s="3" t="s">
        <v>162</v>
      </c>
      <c r="J94" s="3" t="s">
        <v>385</v>
      </c>
      <c r="K94" s="3" t="s">
        <v>58</v>
      </c>
      <c r="L94" s="3" t="s">
        <v>290</v>
      </c>
      <c r="M94" s="3" t="s">
        <v>290</v>
      </c>
      <c r="N94" s="3" t="s">
        <v>80</v>
      </c>
      <c r="O94" s="3" t="s">
        <v>169</v>
      </c>
      <c r="P94" s="3" t="s">
        <v>68</v>
      </c>
      <c r="Q94" s="3"/>
      <c r="R94" s="3" t="s">
        <v>386</v>
      </c>
      <c r="S94" s="3"/>
      <c r="T94" s="3" t="s">
        <v>438</v>
      </c>
      <c r="U94" s="3"/>
      <c r="V94" s="4" t="n">
        <v>6</v>
      </c>
      <c r="W94" s="4" t="s">
        <v>185</v>
      </c>
      <c r="X94" s="4" t="n">
        <v>7</v>
      </c>
      <c r="Y94" s="4" t="n">
        <v>10</v>
      </c>
      <c r="Z94" s="4" t="n">
        <v>3</v>
      </c>
      <c r="AA94" s="4" t="n">
        <v>21</v>
      </c>
      <c r="AB94" s="4" t="n">
        <v>80</v>
      </c>
      <c r="AC94" s="5" t="n">
        <v>99999</v>
      </c>
      <c r="AD94" s="3" t="s">
        <v>165</v>
      </c>
      <c r="AE94" s="6" t="n">
        <v>22841.4983333333</v>
      </c>
      <c r="AF94" s="5" t="n">
        <v>159</v>
      </c>
      <c r="AG94" s="5" t="n">
        <v>1312</v>
      </c>
      <c r="AH94" s="3" t="s">
        <v>293</v>
      </c>
      <c r="AI94" s="6" t="n">
        <v>1.3630404167</v>
      </c>
      <c r="AJ94" s="7"/>
      <c r="AK94" s="5" t="n">
        <v>99999</v>
      </c>
      <c r="AL94" s="4" t="n">
        <f aca="false">(IF(AC94=99999,0,AC94))+((IF(AF94=99999,0,AF94))/AE94)+AG94+(AJ94/AI94)+(IF(AK94=99999,0,AK94))</f>
        <v>1312.00696101445</v>
      </c>
      <c r="AM94" s="4" t="n">
        <f aca="false">AL94+AB94</f>
        <v>1392.00696101445</v>
      </c>
      <c r="AN94" s="8" t="s">
        <v>385</v>
      </c>
      <c r="AO94" s="8" t="s">
        <v>290</v>
      </c>
      <c r="AP94" s="24" t="e">
        <f aca="false">(IF((F94="Port to Port"),(IF(AND(AC94=99999,OR(AF94="",AF94=99999),AG94="",AJ94="",AK94=99999,#REF!="",#REF!="",#REF!="",#REF!="",#REF!="",#REF!="",AN94&lt;&gt;"",#REF!&lt;&gt;"",#REF!="",#REF!="",AO94&lt;&gt;"",#REF!&lt;&gt;"",#REF!="",#REF!="",#REF!="",#REF!=""),"No Bid",IF(AND(AC94=99999,OR(AF94&lt;&gt;"",AF94=99999),AG94&lt;&gt;"",AJ94&lt;&gt;"",AK94=99999,#REF!&lt;&gt;"",#REF!&lt;&gt;"",#REF!&lt;&gt;"",#REF!&lt;&gt;"",#REF!&lt;&gt;"",#REF!&lt;&gt;"",AN94&lt;&gt;"",#REF!&lt;&gt;"",#REF!="",#REF!="",AO94&lt;&gt;"",#REF!&lt;&gt;"",#REF!="",#REF!="",#REF!&lt;&gt;"",(IF((OR(#REF!="No Trans-Shipments",#REF!="")),(AND(#REF!="",#REF!="")),(IF(#REF!="1 Trans-Shipment",(AND(#REF!&lt;&gt;"",#REF!="")),(AND(#REF!&lt;&gt;"",#REF!&lt;&gt;"")))))),#REF!&lt;&gt;""),"Complete Bid","Incomplete Bid")))))</f>
        <v>#REF!</v>
      </c>
      <c r="AQ94" s="25" t="n">
        <f aca="false">(IF((F94="Door to Port"),(IF(AND(AC94="",AF94="",AG94="",AJ94="",AK94=99999,#REF!="",#REF!="",#REF!="",#REF!="",#REF!="",#REF!="",AN94="",#REF!="",#REF!="",#REF!="",AO94&lt;&gt;"",#REF!&lt;&gt;"",#REF!="",#REF!="",#REF!="",#REF!=""),"No Bid",IF(AND(AC94&lt;&gt;"",AF94&lt;&gt;"",AG94&lt;&gt;"",AJ94&lt;&gt;"",AK94=99999,#REF!&lt;&gt;"",#REF!&lt;&gt;"",#REF!&lt;&gt;"",#REF!&lt;&gt;"",#REF!&lt;&gt;"",#REF!&lt;&gt;"",AN94&lt;&gt;"",#REF!&lt;&gt;"",OR(#REF!="",#REF!&lt;&gt;""),#REF!&lt;&gt;"",AO94&lt;&gt;"",#REF!&lt;&gt;"",#REF!="",#REF!="",#REF!&lt;&gt;"",(IF((OR((#REF!="No Trans-Shipments"),(#REF!=""))),(AND(#REF!="",#REF!="")),(IF(#REF!="1 Trans-Shipment",(AND(#REF!&lt;&gt;"",#REF!="")),(AND(#REF!&lt;&gt;"",#REF!&lt;&gt;"")))))),#REF!&lt;&gt;""),"Complete Bid","Incomplete Bid")))))</f>
        <v>0</v>
      </c>
      <c r="AR94" s="25" t="n">
        <f aca="false">(IF((F94="Port to Door"),(IF(AND(AC94=99999,OR(AF94="",AF94=99999),AG94="",AJ94="",AK94="",#REF!="",#REF!="",#REF!="",#REF!="",#REF!="",#REF!="",AN94&lt;&gt;"",#REF!&lt;&gt;"",#REF!="",#REF!="",AO94="",#REF!="",#REF!="",#REF!="",#REF!="",#REF!=""),"No Bid",IF(AND(AC94=99999,OR(AF94&lt;&gt;"",AF94=99999),AG94&lt;&gt;"",AJ94&lt;&gt;"",AK94&lt;&gt;"",#REF!&lt;&gt;"",#REF!&lt;&gt;"",#REF!&lt;&gt;"",#REF!&lt;&gt;"",#REF!&lt;&gt;"",#REF!&lt;&gt;"",AN94&lt;&gt;"",#REF!&lt;&gt;"",#REF!="",#REF!="",AO94&lt;&gt;"",#REF!&lt;&gt;"",OR(#REF!&lt;&gt;"",#REF!=""),#REF!&lt;&gt;"",#REF!&lt;&gt;"",(IF((OR(#REF!="No Trans-Shipments",#REF!="")),(AND(#REF!="",#REF!="")),(IF(#REF!="1 Trans-Shipment",(AND(#REF!&lt;&gt;"",#REF!="")),(AND(#REF!&lt;&gt;"",#REF!&lt;&gt;"")))))),#REF!&lt;&gt;""),"Complete Bid","Incomplete Bid")))))</f>
        <v>0</v>
      </c>
      <c r="AS94" s="25" t="n">
        <f aca="false">(IF((F94="Door to Door"),(IF(AND(AC94="",AF94="",AG94="",AJ94="",AK94="",#REF!="",#REF!="",#REF!="",#REF!="",#REF!="",#REF!="",AN94="",#REF!="",#REF!="",#REF!="",AO94="",#REF!="",#REF!="",#REF!="",#REF!="",#REF!=""),"No Bid",IF(AND(AC94&lt;&gt;"",AF94&lt;&gt;"",AG94&lt;&gt;"",AJ94&lt;&gt;"",AK94&lt;&gt;"",#REF!&lt;&gt;"",#REF!&lt;&gt;"",#REF!&lt;&gt;"",#REF!&lt;&gt;"",#REF!&lt;&gt;"",#REF!&lt;&gt;"",AN94&lt;&gt;"",#REF!&lt;&gt;"",OR(#REF!&lt;&gt;"",#REF!=""),#REF!&lt;&gt;"",AO94&lt;&gt;"",#REF!&lt;&gt;"",OR(#REF!&lt;&gt;"",#REF!=""),#REF!&lt;&gt;"",#REF!&lt;&gt;"",(IF((OR(#REF!="No Trans-Shipments",#REF!="")),(AND(#REF!="",#REF!="")),(IF(#REF!="1 Trans-Shipment",(AND(#REF!&lt;&gt;"",#REF!="")),(AND(#REF!&lt;&gt;"",#REF!&lt;&gt;"")))))),#REF!&lt;&gt;""),"Complete Bid","Incomplete Bid")))))</f>
        <v>0</v>
      </c>
    </row>
    <row r="95" customFormat="false" ht="12.75" hidden="false" customHeight="true" outlineLevel="0" collapsed="false">
      <c r="A95" s="2" t="s">
        <v>56</v>
      </c>
      <c r="B95" s="23" t="s">
        <v>441</v>
      </c>
      <c r="C95" s="3" t="s">
        <v>58</v>
      </c>
      <c r="D95" s="3" t="s">
        <v>442</v>
      </c>
      <c r="E95" s="3" t="s">
        <v>145</v>
      </c>
      <c r="F95" s="3" t="s">
        <v>61</v>
      </c>
      <c r="G95" s="3" t="s">
        <v>384</v>
      </c>
      <c r="H95" s="3" t="s">
        <v>58</v>
      </c>
      <c r="I95" s="3" t="s">
        <v>162</v>
      </c>
      <c r="J95" s="3" t="s">
        <v>385</v>
      </c>
      <c r="K95" s="3" t="s">
        <v>58</v>
      </c>
      <c r="L95" s="3" t="s">
        <v>86</v>
      </c>
      <c r="M95" s="3" t="s">
        <v>87</v>
      </c>
      <c r="N95" s="3" t="s">
        <v>66</v>
      </c>
      <c r="O95" s="3" t="s">
        <v>169</v>
      </c>
      <c r="P95" s="3" t="s">
        <v>68</v>
      </c>
      <c r="Q95" s="3"/>
      <c r="R95" s="3" t="s">
        <v>386</v>
      </c>
      <c r="S95" s="3"/>
      <c r="T95" s="3" t="s">
        <v>299</v>
      </c>
      <c r="U95" s="3"/>
      <c r="V95" s="4" t="n">
        <v>0</v>
      </c>
      <c r="W95" s="4"/>
      <c r="X95" s="4" t="n">
        <v>7</v>
      </c>
      <c r="Y95" s="4" t="n">
        <v>10</v>
      </c>
      <c r="Z95" s="4" t="n">
        <v>5</v>
      </c>
      <c r="AA95" s="4" t="n">
        <v>30</v>
      </c>
      <c r="AB95" s="4" t="n">
        <v>271</v>
      </c>
      <c r="AC95" s="5" t="n">
        <v>99999</v>
      </c>
      <c r="AD95" s="3" t="s">
        <v>165</v>
      </c>
      <c r="AE95" s="6" t="n">
        <v>22841.4983333333</v>
      </c>
      <c r="AF95" s="5" t="n">
        <v>160</v>
      </c>
      <c r="AG95" s="5" t="n">
        <v>1313</v>
      </c>
      <c r="AH95" s="3" t="s">
        <v>91</v>
      </c>
      <c r="AI95" s="6" t="n">
        <v>1.3964683333</v>
      </c>
      <c r="AJ95" s="7"/>
      <c r="AK95" s="5" t="n">
        <v>99999</v>
      </c>
      <c r="AL95" s="4" t="n">
        <f aca="false">(IF(AC95=99999,0,AC95))+((IF(AF95=99999,0,AF95))/AE95)+AG95+(AJ95/AI95)+(IF(AK95=99999,0,AK95))</f>
        <v>1313.00700479442</v>
      </c>
      <c r="AM95" s="4" t="n">
        <f aca="false">AL95+AB95</f>
        <v>1584.00700479442</v>
      </c>
      <c r="AN95" s="8" t="s">
        <v>385</v>
      </c>
      <c r="AO95" s="8" t="s">
        <v>87</v>
      </c>
      <c r="AP95" s="24" t="e">
        <f aca="false">(IF((F95="Port to Port"),(IF(AND(AC95=99999,OR(AF95="",AF95=99999),AG95="",AJ95="",AK95=99999,#REF!="",#REF!="",#REF!="",#REF!="",#REF!="",#REF!="",AN95&lt;&gt;"",#REF!&lt;&gt;"",#REF!="",#REF!="",AO95&lt;&gt;"",#REF!&lt;&gt;"",#REF!="",#REF!="",#REF!="",#REF!=""),"No Bid",IF(AND(AC95=99999,OR(AF95&lt;&gt;"",AF95=99999),AG95&lt;&gt;"",AJ95&lt;&gt;"",AK95=99999,#REF!&lt;&gt;"",#REF!&lt;&gt;"",#REF!&lt;&gt;"",#REF!&lt;&gt;"",#REF!&lt;&gt;"",#REF!&lt;&gt;"",AN95&lt;&gt;"",#REF!&lt;&gt;"",#REF!="",#REF!="",AO95&lt;&gt;"",#REF!&lt;&gt;"",#REF!="",#REF!="",#REF!&lt;&gt;"",(IF((OR(#REF!="No Trans-Shipments",#REF!="")),(AND(#REF!="",#REF!="")),(IF(#REF!="1 Trans-Shipment",(AND(#REF!&lt;&gt;"",#REF!="")),(AND(#REF!&lt;&gt;"",#REF!&lt;&gt;"")))))),#REF!&lt;&gt;""),"Complete Bid","Incomplete Bid")))))</f>
        <v>#REF!</v>
      </c>
      <c r="AQ95" s="25" t="n">
        <f aca="false">(IF((F95="Door to Port"),(IF(AND(AC95="",AF95="",AG95="",AJ95="",AK95=99999,#REF!="",#REF!="",#REF!="",#REF!="",#REF!="",#REF!="",AN95="",#REF!="",#REF!="",#REF!="",AO95&lt;&gt;"",#REF!&lt;&gt;"",#REF!="",#REF!="",#REF!="",#REF!=""),"No Bid",IF(AND(AC95&lt;&gt;"",AF95&lt;&gt;"",AG95&lt;&gt;"",AJ95&lt;&gt;"",AK95=99999,#REF!&lt;&gt;"",#REF!&lt;&gt;"",#REF!&lt;&gt;"",#REF!&lt;&gt;"",#REF!&lt;&gt;"",#REF!&lt;&gt;"",AN95&lt;&gt;"",#REF!&lt;&gt;"",OR(#REF!="",#REF!&lt;&gt;""),#REF!&lt;&gt;"",AO95&lt;&gt;"",#REF!&lt;&gt;"",#REF!="",#REF!="",#REF!&lt;&gt;"",(IF((OR((#REF!="No Trans-Shipments"),(#REF!=""))),(AND(#REF!="",#REF!="")),(IF(#REF!="1 Trans-Shipment",(AND(#REF!&lt;&gt;"",#REF!="")),(AND(#REF!&lt;&gt;"",#REF!&lt;&gt;"")))))),#REF!&lt;&gt;""),"Complete Bid","Incomplete Bid")))))</f>
        <v>0</v>
      </c>
      <c r="AR95" s="25" t="n">
        <f aca="false">(IF((F95="Port to Door"),(IF(AND(AC95=99999,OR(AF95="",AF95=99999),AG95="",AJ95="",AK95="",#REF!="",#REF!="",#REF!="",#REF!="",#REF!="",#REF!="",AN95&lt;&gt;"",#REF!&lt;&gt;"",#REF!="",#REF!="",AO95="",#REF!="",#REF!="",#REF!="",#REF!="",#REF!=""),"No Bid",IF(AND(AC95=99999,OR(AF95&lt;&gt;"",AF95=99999),AG95&lt;&gt;"",AJ95&lt;&gt;"",AK95&lt;&gt;"",#REF!&lt;&gt;"",#REF!&lt;&gt;"",#REF!&lt;&gt;"",#REF!&lt;&gt;"",#REF!&lt;&gt;"",#REF!&lt;&gt;"",AN95&lt;&gt;"",#REF!&lt;&gt;"",#REF!="",#REF!="",AO95&lt;&gt;"",#REF!&lt;&gt;"",OR(#REF!&lt;&gt;"",#REF!=""),#REF!&lt;&gt;"",#REF!&lt;&gt;"",(IF((OR(#REF!="No Trans-Shipments",#REF!="")),(AND(#REF!="",#REF!="")),(IF(#REF!="1 Trans-Shipment",(AND(#REF!&lt;&gt;"",#REF!="")),(AND(#REF!&lt;&gt;"",#REF!&lt;&gt;"")))))),#REF!&lt;&gt;""),"Complete Bid","Incomplete Bid")))))</f>
        <v>0</v>
      </c>
      <c r="AS95" s="25" t="n">
        <f aca="false">(IF((F95="Door to Door"),(IF(AND(AC95="",AF95="",AG95="",AJ95="",AK95="",#REF!="",#REF!="",#REF!="",#REF!="",#REF!="",#REF!="",AN95="",#REF!="",#REF!="",#REF!="",AO95="",#REF!="",#REF!="",#REF!="",#REF!="",#REF!=""),"No Bid",IF(AND(AC95&lt;&gt;"",AF95&lt;&gt;"",AG95&lt;&gt;"",AJ95&lt;&gt;"",AK95&lt;&gt;"",#REF!&lt;&gt;"",#REF!&lt;&gt;"",#REF!&lt;&gt;"",#REF!&lt;&gt;"",#REF!&lt;&gt;"",#REF!&lt;&gt;"",AN95&lt;&gt;"",#REF!&lt;&gt;"",OR(#REF!&lt;&gt;"",#REF!=""),#REF!&lt;&gt;"",AO95&lt;&gt;"",#REF!&lt;&gt;"",OR(#REF!&lt;&gt;"",#REF!=""),#REF!&lt;&gt;"",#REF!&lt;&gt;"",(IF((OR(#REF!="No Trans-Shipments",#REF!="")),(AND(#REF!="",#REF!="")),(IF(#REF!="1 Trans-Shipment",(AND(#REF!&lt;&gt;"",#REF!="")),(AND(#REF!&lt;&gt;"",#REF!&lt;&gt;"")))))),#REF!&lt;&gt;""),"Complete Bid","Incomplete Bid")))))</f>
        <v>0</v>
      </c>
    </row>
    <row r="96" customFormat="false" ht="12.75" hidden="false" customHeight="true" outlineLevel="0" collapsed="false">
      <c r="A96" s="2" t="s">
        <v>56</v>
      </c>
      <c r="B96" s="23" t="s">
        <v>443</v>
      </c>
      <c r="C96" s="3" t="s">
        <v>58</v>
      </c>
      <c r="D96" s="3" t="s">
        <v>444</v>
      </c>
      <c r="E96" s="3" t="s">
        <v>145</v>
      </c>
      <c r="F96" s="3" t="s">
        <v>61</v>
      </c>
      <c r="G96" s="3" t="s">
        <v>384</v>
      </c>
      <c r="H96" s="3" t="s">
        <v>58</v>
      </c>
      <c r="I96" s="3" t="s">
        <v>162</v>
      </c>
      <c r="J96" s="3" t="s">
        <v>385</v>
      </c>
      <c r="K96" s="3" t="s">
        <v>58</v>
      </c>
      <c r="L96" s="3" t="s">
        <v>86</v>
      </c>
      <c r="M96" s="3" t="s">
        <v>87</v>
      </c>
      <c r="N96" s="3" t="s">
        <v>80</v>
      </c>
      <c r="O96" s="3" t="s">
        <v>169</v>
      </c>
      <c r="P96" s="3" t="s">
        <v>68</v>
      </c>
      <c r="Q96" s="3"/>
      <c r="R96" s="3" t="s">
        <v>386</v>
      </c>
      <c r="S96" s="3"/>
      <c r="T96" s="3" t="s">
        <v>299</v>
      </c>
      <c r="U96" s="3"/>
      <c r="V96" s="4" t="n">
        <v>580</v>
      </c>
      <c r="W96" s="4" t="s">
        <v>445</v>
      </c>
      <c r="X96" s="4" t="n">
        <v>7</v>
      </c>
      <c r="Y96" s="4" t="n">
        <v>10</v>
      </c>
      <c r="Z96" s="4" t="n">
        <v>5</v>
      </c>
      <c r="AA96" s="4" t="n">
        <v>30</v>
      </c>
      <c r="AB96" s="4" t="n">
        <v>542</v>
      </c>
      <c r="AC96" s="5" t="n">
        <v>99999</v>
      </c>
      <c r="AD96" s="3" t="s">
        <v>165</v>
      </c>
      <c r="AE96" s="6" t="n">
        <v>22841.4983333333</v>
      </c>
      <c r="AF96" s="5" t="n">
        <v>161</v>
      </c>
      <c r="AG96" s="5" t="n">
        <v>1314</v>
      </c>
      <c r="AH96" s="3" t="s">
        <v>91</v>
      </c>
      <c r="AI96" s="6" t="n">
        <v>1.3964683333</v>
      </c>
      <c r="AJ96" s="7"/>
      <c r="AK96" s="5" t="n">
        <v>99999</v>
      </c>
      <c r="AL96" s="4" t="n">
        <f aca="false">(IF(AC96=99999,0,AC96))+((IF(AF96=99999,0,AF96))/AE96)+AG96+(AJ96/AI96)+(IF(AK96=99999,0,AK96))</f>
        <v>1314.00704857438</v>
      </c>
      <c r="AM96" s="4" t="n">
        <f aca="false">AL96+AB96</f>
        <v>1856.00704857438</v>
      </c>
      <c r="AN96" s="8" t="s">
        <v>385</v>
      </c>
      <c r="AO96" s="8" t="s">
        <v>87</v>
      </c>
      <c r="AP96" s="24" t="e">
        <f aca="false">(IF((F96="Port to Port"),(IF(AND(AC96=99999,OR(AF96="",AF96=99999),AG96="",AJ96="",AK96=99999,#REF!="",#REF!="",#REF!="",#REF!="",#REF!="",#REF!="",AN96&lt;&gt;"",#REF!&lt;&gt;"",#REF!="",#REF!="",AO96&lt;&gt;"",#REF!&lt;&gt;"",#REF!="",#REF!="",#REF!="",#REF!=""),"No Bid",IF(AND(AC96=99999,OR(AF96&lt;&gt;"",AF96=99999),AG96&lt;&gt;"",AJ96&lt;&gt;"",AK96=99999,#REF!&lt;&gt;"",#REF!&lt;&gt;"",#REF!&lt;&gt;"",#REF!&lt;&gt;"",#REF!&lt;&gt;"",#REF!&lt;&gt;"",AN96&lt;&gt;"",#REF!&lt;&gt;"",#REF!="",#REF!="",AO96&lt;&gt;"",#REF!&lt;&gt;"",#REF!="",#REF!="",#REF!&lt;&gt;"",(IF((OR(#REF!="No Trans-Shipments",#REF!="")),(AND(#REF!="",#REF!="")),(IF(#REF!="1 Trans-Shipment",(AND(#REF!&lt;&gt;"",#REF!="")),(AND(#REF!&lt;&gt;"",#REF!&lt;&gt;"")))))),#REF!&lt;&gt;""),"Complete Bid","Incomplete Bid")))))</f>
        <v>#REF!</v>
      </c>
      <c r="AQ96" s="25" t="n">
        <f aca="false">(IF((F96="Door to Port"),(IF(AND(AC96="",AF96="",AG96="",AJ96="",AK96=99999,#REF!="",#REF!="",#REF!="",#REF!="",#REF!="",#REF!="",AN96="",#REF!="",#REF!="",#REF!="",AO96&lt;&gt;"",#REF!&lt;&gt;"",#REF!="",#REF!="",#REF!="",#REF!=""),"No Bid",IF(AND(AC96&lt;&gt;"",AF96&lt;&gt;"",AG96&lt;&gt;"",AJ96&lt;&gt;"",AK96=99999,#REF!&lt;&gt;"",#REF!&lt;&gt;"",#REF!&lt;&gt;"",#REF!&lt;&gt;"",#REF!&lt;&gt;"",#REF!&lt;&gt;"",AN96&lt;&gt;"",#REF!&lt;&gt;"",OR(#REF!="",#REF!&lt;&gt;""),#REF!&lt;&gt;"",AO96&lt;&gt;"",#REF!&lt;&gt;"",#REF!="",#REF!="",#REF!&lt;&gt;"",(IF((OR((#REF!="No Trans-Shipments"),(#REF!=""))),(AND(#REF!="",#REF!="")),(IF(#REF!="1 Trans-Shipment",(AND(#REF!&lt;&gt;"",#REF!="")),(AND(#REF!&lt;&gt;"",#REF!&lt;&gt;"")))))),#REF!&lt;&gt;""),"Complete Bid","Incomplete Bid")))))</f>
        <v>0</v>
      </c>
      <c r="AR96" s="25" t="n">
        <f aca="false">(IF((F96="Port to Door"),(IF(AND(AC96=99999,OR(AF96="",AF96=99999),AG96="",AJ96="",AK96="",#REF!="",#REF!="",#REF!="",#REF!="",#REF!="",#REF!="",AN96&lt;&gt;"",#REF!&lt;&gt;"",#REF!="",#REF!="",AO96="",#REF!="",#REF!="",#REF!="",#REF!="",#REF!=""),"No Bid",IF(AND(AC96=99999,OR(AF96&lt;&gt;"",AF96=99999),AG96&lt;&gt;"",AJ96&lt;&gt;"",AK96&lt;&gt;"",#REF!&lt;&gt;"",#REF!&lt;&gt;"",#REF!&lt;&gt;"",#REF!&lt;&gt;"",#REF!&lt;&gt;"",#REF!&lt;&gt;"",AN96&lt;&gt;"",#REF!&lt;&gt;"",#REF!="",#REF!="",AO96&lt;&gt;"",#REF!&lt;&gt;"",OR(#REF!&lt;&gt;"",#REF!=""),#REF!&lt;&gt;"",#REF!&lt;&gt;"",(IF((OR(#REF!="No Trans-Shipments",#REF!="")),(AND(#REF!="",#REF!="")),(IF(#REF!="1 Trans-Shipment",(AND(#REF!&lt;&gt;"",#REF!="")),(AND(#REF!&lt;&gt;"",#REF!&lt;&gt;"")))))),#REF!&lt;&gt;""),"Complete Bid","Incomplete Bid")))))</f>
        <v>0</v>
      </c>
      <c r="AS96" s="25" t="n">
        <f aca="false">(IF((F96="Door to Door"),(IF(AND(AC96="",AF96="",AG96="",AJ96="",AK96="",#REF!="",#REF!="",#REF!="",#REF!="",#REF!="",#REF!="",AN96="",#REF!="",#REF!="",#REF!="",AO96="",#REF!="",#REF!="",#REF!="",#REF!="",#REF!=""),"No Bid",IF(AND(AC96&lt;&gt;"",AF96&lt;&gt;"",AG96&lt;&gt;"",AJ96&lt;&gt;"",AK96&lt;&gt;"",#REF!&lt;&gt;"",#REF!&lt;&gt;"",#REF!&lt;&gt;"",#REF!&lt;&gt;"",#REF!&lt;&gt;"",#REF!&lt;&gt;"",AN96&lt;&gt;"",#REF!&lt;&gt;"",OR(#REF!&lt;&gt;"",#REF!=""),#REF!&lt;&gt;"",AO96&lt;&gt;"",#REF!&lt;&gt;"",OR(#REF!&lt;&gt;"",#REF!=""),#REF!&lt;&gt;"",#REF!&lt;&gt;"",(IF((OR(#REF!="No Trans-Shipments",#REF!="")),(AND(#REF!="",#REF!="")),(IF(#REF!="1 Trans-Shipment",(AND(#REF!&lt;&gt;"",#REF!="")),(AND(#REF!&lt;&gt;"",#REF!&lt;&gt;"")))))),#REF!&lt;&gt;""),"Complete Bid","Incomplete Bid")))))</f>
        <v>0</v>
      </c>
    </row>
    <row r="97" customFormat="false" ht="12.75" hidden="false" customHeight="true" outlineLevel="0" collapsed="false">
      <c r="A97" s="2" t="s">
        <v>56</v>
      </c>
      <c r="B97" s="23" t="s">
        <v>446</v>
      </c>
      <c r="C97" s="3" t="s">
        <v>58</v>
      </c>
      <c r="D97" s="3" t="s">
        <v>447</v>
      </c>
      <c r="E97" s="3" t="s">
        <v>120</v>
      </c>
      <c r="F97" s="3" t="s">
        <v>61</v>
      </c>
      <c r="G97" s="3" t="s">
        <v>384</v>
      </c>
      <c r="H97" s="3" t="s">
        <v>58</v>
      </c>
      <c r="I97" s="3" t="s">
        <v>162</v>
      </c>
      <c r="J97" s="3" t="s">
        <v>385</v>
      </c>
      <c r="K97" s="3" t="s">
        <v>58</v>
      </c>
      <c r="L97" s="3" t="s">
        <v>305</v>
      </c>
      <c r="M97" s="3" t="s">
        <v>306</v>
      </c>
      <c r="N97" s="3" t="s">
        <v>66</v>
      </c>
      <c r="O97" s="3" t="s">
        <v>169</v>
      </c>
      <c r="P97" s="3" t="s">
        <v>68</v>
      </c>
      <c r="Q97" s="3"/>
      <c r="R97" s="3" t="s">
        <v>386</v>
      </c>
      <c r="S97" s="3"/>
      <c r="T97" s="3" t="s">
        <v>448</v>
      </c>
      <c r="U97" s="3"/>
      <c r="V97" s="4" t="n">
        <v>12</v>
      </c>
      <c r="W97" s="4"/>
      <c r="X97" s="4" t="n">
        <v>7</v>
      </c>
      <c r="Y97" s="4" t="n">
        <v>10</v>
      </c>
      <c r="Z97" s="4" t="n">
        <v>17</v>
      </c>
      <c r="AA97" s="4" t="n">
        <v>7</v>
      </c>
      <c r="AB97" s="4" t="n">
        <v>40</v>
      </c>
      <c r="AC97" s="5" t="n">
        <v>99999</v>
      </c>
      <c r="AD97" s="3" t="s">
        <v>165</v>
      </c>
      <c r="AE97" s="6" t="n">
        <v>22841.4983333333</v>
      </c>
      <c r="AF97" s="5" t="n">
        <v>162</v>
      </c>
      <c r="AG97" s="5" t="n">
        <v>1315</v>
      </c>
      <c r="AH97" s="3" t="s">
        <v>308</v>
      </c>
      <c r="AI97" s="6" t="n">
        <v>4.246720625</v>
      </c>
      <c r="AJ97" s="7"/>
      <c r="AK97" s="5" t="n">
        <v>99999</v>
      </c>
      <c r="AL97" s="4" t="n">
        <f aca="false">(IF(AC97=99999,0,AC97))+((IF(AF97=99999,0,AF97))/AE97)+AG97+(AJ97/AI97)+(IF(AK97=99999,0,AK97))</f>
        <v>1315.00709235435</v>
      </c>
      <c r="AM97" s="4" t="n">
        <f aca="false">AL97+AB97</f>
        <v>1355.00709235435</v>
      </c>
      <c r="AN97" s="8" t="s">
        <v>385</v>
      </c>
      <c r="AO97" s="8" t="s">
        <v>306</v>
      </c>
      <c r="AP97" s="24" t="e">
        <f aca="false">(IF((F97="Port to Port"),(IF(AND(AC97=99999,OR(AF97="",AF97=99999),AG97="",AJ97="",AK97=99999,#REF!="",#REF!="",#REF!="",#REF!="",#REF!="",#REF!="",AN97&lt;&gt;"",#REF!&lt;&gt;"",#REF!="",#REF!="",AO97&lt;&gt;"",#REF!&lt;&gt;"",#REF!="",#REF!="",#REF!="",#REF!=""),"No Bid",IF(AND(AC97=99999,OR(AF97&lt;&gt;"",AF97=99999),AG97&lt;&gt;"",AJ97&lt;&gt;"",AK97=99999,#REF!&lt;&gt;"",#REF!&lt;&gt;"",#REF!&lt;&gt;"",#REF!&lt;&gt;"",#REF!&lt;&gt;"",#REF!&lt;&gt;"",AN97&lt;&gt;"",#REF!&lt;&gt;"",#REF!="",#REF!="",AO97&lt;&gt;"",#REF!&lt;&gt;"",#REF!="",#REF!="",#REF!&lt;&gt;"",(IF((OR(#REF!="No Trans-Shipments",#REF!="")),(AND(#REF!="",#REF!="")),(IF(#REF!="1 Trans-Shipment",(AND(#REF!&lt;&gt;"",#REF!="")),(AND(#REF!&lt;&gt;"",#REF!&lt;&gt;"")))))),#REF!&lt;&gt;""),"Complete Bid","Incomplete Bid")))))</f>
        <v>#REF!</v>
      </c>
      <c r="AQ97" s="25" t="n">
        <f aca="false">(IF((F97="Door to Port"),(IF(AND(AC97="",AF97="",AG97="",AJ97="",AK97=99999,#REF!="",#REF!="",#REF!="",#REF!="",#REF!="",#REF!="",AN97="",#REF!="",#REF!="",#REF!="",AO97&lt;&gt;"",#REF!&lt;&gt;"",#REF!="",#REF!="",#REF!="",#REF!=""),"No Bid",IF(AND(AC97&lt;&gt;"",AF97&lt;&gt;"",AG97&lt;&gt;"",AJ97&lt;&gt;"",AK97=99999,#REF!&lt;&gt;"",#REF!&lt;&gt;"",#REF!&lt;&gt;"",#REF!&lt;&gt;"",#REF!&lt;&gt;"",#REF!&lt;&gt;"",AN97&lt;&gt;"",#REF!&lt;&gt;"",OR(#REF!="",#REF!&lt;&gt;""),#REF!&lt;&gt;"",AO97&lt;&gt;"",#REF!&lt;&gt;"",#REF!="",#REF!="",#REF!&lt;&gt;"",(IF((OR((#REF!="No Trans-Shipments"),(#REF!=""))),(AND(#REF!="",#REF!="")),(IF(#REF!="1 Trans-Shipment",(AND(#REF!&lt;&gt;"",#REF!="")),(AND(#REF!&lt;&gt;"",#REF!&lt;&gt;"")))))),#REF!&lt;&gt;""),"Complete Bid","Incomplete Bid")))))</f>
        <v>0</v>
      </c>
      <c r="AR97" s="25" t="n">
        <f aca="false">(IF((F97="Port to Door"),(IF(AND(AC97=99999,OR(AF97="",AF97=99999),AG97="",AJ97="",AK97="",#REF!="",#REF!="",#REF!="",#REF!="",#REF!="",#REF!="",AN97&lt;&gt;"",#REF!&lt;&gt;"",#REF!="",#REF!="",AO97="",#REF!="",#REF!="",#REF!="",#REF!="",#REF!=""),"No Bid",IF(AND(AC97=99999,OR(AF97&lt;&gt;"",AF97=99999),AG97&lt;&gt;"",AJ97&lt;&gt;"",AK97&lt;&gt;"",#REF!&lt;&gt;"",#REF!&lt;&gt;"",#REF!&lt;&gt;"",#REF!&lt;&gt;"",#REF!&lt;&gt;"",#REF!&lt;&gt;"",AN97&lt;&gt;"",#REF!&lt;&gt;"",#REF!="",#REF!="",AO97&lt;&gt;"",#REF!&lt;&gt;"",OR(#REF!&lt;&gt;"",#REF!=""),#REF!&lt;&gt;"",#REF!&lt;&gt;"",(IF((OR(#REF!="No Trans-Shipments",#REF!="")),(AND(#REF!="",#REF!="")),(IF(#REF!="1 Trans-Shipment",(AND(#REF!&lt;&gt;"",#REF!="")),(AND(#REF!&lt;&gt;"",#REF!&lt;&gt;"")))))),#REF!&lt;&gt;""),"Complete Bid","Incomplete Bid")))))</f>
        <v>0</v>
      </c>
      <c r="AS97" s="25" t="n">
        <f aca="false">(IF((F97="Door to Door"),(IF(AND(AC97="",AF97="",AG97="",AJ97="",AK97="",#REF!="",#REF!="",#REF!="",#REF!="",#REF!="",#REF!="",AN97="",#REF!="",#REF!="",#REF!="",AO97="",#REF!="",#REF!="",#REF!="",#REF!="",#REF!=""),"No Bid",IF(AND(AC97&lt;&gt;"",AF97&lt;&gt;"",AG97&lt;&gt;"",AJ97&lt;&gt;"",AK97&lt;&gt;"",#REF!&lt;&gt;"",#REF!&lt;&gt;"",#REF!&lt;&gt;"",#REF!&lt;&gt;"",#REF!&lt;&gt;"",#REF!&lt;&gt;"",AN97&lt;&gt;"",#REF!&lt;&gt;"",OR(#REF!&lt;&gt;"",#REF!=""),#REF!&lt;&gt;"",AO97&lt;&gt;"",#REF!&lt;&gt;"",OR(#REF!&lt;&gt;"",#REF!=""),#REF!&lt;&gt;"",#REF!&lt;&gt;"",(IF((OR(#REF!="No Trans-Shipments",#REF!="")),(AND(#REF!="",#REF!="")),(IF(#REF!="1 Trans-Shipment",(AND(#REF!&lt;&gt;"",#REF!="")),(AND(#REF!&lt;&gt;"",#REF!&lt;&gt;"")))))),#REF!&lt;&gt;""),"Complete Bid","Incomplete Bid")))))</f>
        <v>0</v>
      </c>
    </row>
    <row r="98" customFormat="false" ht="12.75" hidden="false" customHeight="true" outlineLevel="0" collapsed="false">
      <c r="A98" s="2" t="s">
        <v>56</v>
      </c>
      <c r="B98" s="23" t="s">
        <v>449</v>
      </c>
      <c r="C98" s="3" t="s">
        <v>58</v>
      </c>
      <c r="D98" s="3" t="s">
        <v>450</v>
      </c>
      <c r="E98" s="3" t="s">
        <v>120</v>
      </c>
      <c r="F98" s="3" t="s">
        <v>61</v>
      </c>
      <c r="G98" s="3" t="s">
        <v>384</v>
      </c>
      <c r="H98" s="3" t="s">
        <v>58</v>
      </c>
      <c r="I98" s="3" t="s">
        <v>162</v>
      </c>
      <c r="J98" s="3" t="s">
        <v>385</v>
      </c>
      <c r="K98" s="3" t="s">
        <v>58</v>
      </c>
      <c r="L98" s="3" t="s">
        <v>305</v>
      </c>
      <c r="M98" s="3" t="s">
        <v>306</v>
      </c>
      <c r="N98" s="3" t="s">
        <v>80</v>
      </c>
      <c r="O98" s="3" t="s">
        <v>169</v>
      </c>
      <c r="P98" s="3" t="s">
        <v>68</v>
      </c>
      <c r="Q98" s="3"/>
      <c r="R98" s="3" t="s">
        <v>386</v>
      </c>
      <c r="S98" s="3"/>
      <c r="T98" s="3" t="s">
        <v>448</v>
      </c>
      <c r="U98" s="3"/>
      <c r="V98" s="4" t="n">
        <v>582</v>
      </c>
      <c r="W98" s="4" t="s">
        <v>451</v>
      </c>
      <c r="X98" s="4" t="n">
        <v>7</v>
      </c>
      <c r="Y98" s="4" t="n">
        <v>10</v>
      </c>
      <c r="Z98" s="4" t="n">
        <v>17</v>
      </c>
      <c r="AA98" s="4" t="n">
        <v>7</v>
      </c>
      <c r="AB98" s="4" t="n">
        <v>80</v>
      </c>
      <c r="AC98" s="5" t="n">
        <v>99999</v>
      </c>
      <c r="AD98" s="3" t="s">
        <v>165</v>
      </c>
      <c r="AE98" s="6" t="n">
        <v>22841.4983333333</v>
      </c>
      <c r="AF98" s="5" t="n">
        <v>163</v>
      </c>
      <c r="AG98" s="5" t="n">
        <v>1316</v>
      </c>
      <c r="AH98" s="3" t="s">
        <v>308</v>
      </c>
      <c r="AI98" s="6" t="n">
        <v>4.246720625</v>
      </c>
      <c r="AJ98" s="7"/>
      <c r="AK98" s="5" t="n">
        <v>99999</v>
      </c>
      <c r="AL98" s="4" t="n">
        <f aca="false">(IF(AC98=99999,0,AC98))+((IF(AF98=99999,0,AF98))/AE98)+AG98+(AJ98/AI98)+(IF(AK98=99999,0,AK98))</f>
        <v>1316.00713613431</v>
      </c>
      <c r="AM98" s="4" t="n">
        <f aca="false">AL98+AB98</f>
        <v>1396.00713613431</v>
      </c>
      <c r="AN98" s="8" t="s">
        <v>385</v>
      </c>
      <c r="AO98" s="8" t="s">
        <v>306</v>
      </c>
      <c r="AP98" s="24" t="e">
        <f aca="false">(IF((F98="Port to Port"),(IF(AND(AC98=99999,OR(AF98="",AF98=99999),AG98="",AJ98="",AK98=99999,#REF!="",#REF!="",#REF!="",#REF!="",#REF!="",#REF!="",AN98&lt;&gt;"",#REF!&lt;&gt;"",#REF!="",#REF!="",AO98&lt;&gt;"",#REF!&lt;&gt;"",#REF!="",#REF!="",#REF!="",#REF!=""),"No Bid",IF(AND(AC98=99999,OR(AF98&lt;&gt;"",AF98=99999),AG98&lt;&gt;"",AJ98&lt;&gt;"",AK98=99999,#REF!&lt;&gt;"",#REF!&lt;&gt;"",#REF!&lt;&gt;"",#REF!&lt;&gt;"",#REF!&lt;&gt;"",#REF!&lt;&gt;"",AN98&lt;&gt;"",#REF!&lt;&gt;"",#REF!="",#REF!="",AO98&lt;&gt;"",#REF!&lt;&gt;"",#REF!="",#REF!="",#REF!&lt;&gt;"",(IF((OR(#REF!="No Trans-Shipments",#REF!="")),(AND(#REF!="",#REF!="")),(IF(#REF!="1 Trans-Shipment",(AND(#REF!&lt;&gt;"",#REF!="")),(AND(#REF!&lt;&gt;"",#REF!&lt;&gt;"")))))),#REF!&lt;&gt;""),"Complete Bid","Incomplete Bid")))))</f>
        <v>#REF!</v>
      </c>
      <c r="AQ98" s="25" t="n">
        <f aca="false">(IF((F98="Door to Port"),(IF(AND(AC98="",AF98="",AG98="",AJ98="",AK98=99999,#REF!="",#REF!="",#REF!="",#REF!="",#REF!="",#REF!="",AN98="",#REF!="",#REF!="",#REF!="",AO98&lt;&gt;"",#REF!&lt;&gt;"",#REF!="",#REF!="",#REF!="",#REF!=""),"No Bid",IF(AND(AC98&lt;&gt;"",AF98&lt;&gt;"",AG98&lt;&gt;"",AJ98&lt;&gt;"",AK98=99999,#REF!&lt;&gt;"",#REF!&lt;&gt;"",#REF!&lt;&gt;"",#REF!&lt;&gt;"",#REF!&lt;&gt;"",#REF!&lt;&gt;"",AN98&lt;&gt;"",#REF!&lt;&gt;"",OR(#REF!="",#REF!&lt;&gt;""),#REF!&lt;&gt;"",AO98&lt;&gt;"",#REF!&lt;&gt;"",#REF!="",#REF!="",#REF!&lt;&gt;"",(IF((OR((#REF!="No Trans-Shipments"),(#REF!=""))),(AND(#REF!="",#REF!="")),(IF(#REF!="1 Trans-Shipment",(AND(#REF!&lt;&gt;"",#REF!="")),(AND(#REF!&lt;&gt;"",#REF!&lt;&gt;"")))))),#REF!&lt;&gt;""),"Complete Bid","Incomplete Bid")))))</f>
        <v>0</v>
      </c>
      <c r="AR98" s="25" t="n">
        <f aca="false">(IF((F98="Port to Door"),(IF(AND(AC98=99999,OR(AF98="",AF98=99999),AG98="",AJ98="",AK98="",#REF!="",#REF!="",#REF!="",#REF!="",#REF!="",#REF!="",AN98&lt;&gt;"",#REF!&lt;&gt;"",#REF!="",#REF!="",AO98="",#REF!="",#REF!="",#REF!="",#REF!="",#REF!=""),"No Bid",IF(AND(AC98=99999,OR(AF98&lt;&gt;"",AF98=99999),AG98&lt;&gt;"",AJ98&lt;&gt;"",AK98&lt;&gt;"",#REF!&lt;&gt;"",#REF!&lt;&gt;"",#REF!&lt;&gt;"",#REF!&lt;&gt;"",#REF!&lt;&gt;"",#REF!&lt;&gt;"",AN98&lt;&gt;"",#REF!&lt;&gt;"",#REF!="",#REF!="",AO98&lt;&gt;"",#REF!&lt;&gt;"",OR(#REF!&lt;&gt;"",#REF!=""),#REF!&lt;&gt;"",#REF!&lt;&gt;"",(IF((OR(#REF!="No Trans-Shipments",#REF!="")),(AND(#REF!="",#REF!="")),(IF(#REF!="1 Trans-Shipment",(AND(#REF!&lt;&gt;"",#REF!="")),(AND(#REF!&lt;&gt;"",#REF!&lt;&gt;"")))))),#REF!&lt;&gt;""),"Complete Bid","Incomplete Bid")))))</f>
        <v>0</v>
      </c>
      <c r="AS98" s="25" t="n">
        <f aca="false">(IF((F98="Door to Door"),(IF(AND(AC98="",AF98="",AG98="",AJ98="",AK98="",#REF!="",#REF!="",#REF!="",#REF!="",#REF!="",#REF!="",AN98="",#REF!="",#REF!="",#REF!="",AO98="",#REF!="",#REF!="",#REF!="",#REF!="",#REF!=""),"No Bid",IF(AND(AC98&lt;&gt;"",AF98&lt;&gt;"",AG98&lt;&gt;"",AJ98&lt;&gt;"",AK98&lt;&gt;"",#REF!&lt;&gt;"",#REF!&lt;&gt;"",#REF!&lt;&gt;"",#REF!&lt;&gt;"",#REF!&lt;&gt;"",#REF!&lt;&gt;"",AN98&lt;&gt;"",#REF!&lt;&gt;"",OR(#REF!&lt;&gt;"",#REF!=""),#REF!&lt;&gt;"",AO98&lt;&gt;"",#REF!&lt;&gt;"",OR(#REF!&lt;&gt;"",#REF!=""),#REF!&lt;&gt;"",#REF!&lt;&gt;"",(IF((OR(#REF!="No Trans-Shipments",#REF!="")),(AND(#REF!="",#REF!="")),(IF(#REF!="1 Trans-Shipment",(AND(#REF!&lt;&gt;"",#REF!="")),(AND(#REF!&lt;&gt;"",#REF!&lt;&gt;"")))))),#REF!&lt;&gt;""),"Complete Bid","Incomplete Bid")))))</f>
        <v>0</v>
      </c>
    </row>
    <row r="99" customFormat="false" ht="12.75" hidden="false" customHeight="true" outlineLevel="0" collapsed="false">
      <c r="A99" s="2" t="s">
        <v>56</v>
      </c>
      <c r="B99" s="23" t="s">
        <v>452</v>
      </c>
      <c r="C99" s="3" t="s">
        <v>58</v>
      </c>
      <c r="D99" s="3" t="s">
        <v>453</v>
      </c>
      <c r="E99" s="3" t="s">
        <v>120</v>
      </c>
      <c r="F99" s="3" t="s">
        <v>61</v>
      </c>
      <c r="G99" s="3" t="s">
        <v>377</v>
      </c>
      <c r="H99" s="3" t="s">
        <v>58</v>
      </c>
      <c r="I99" s="3" t="s">
        <v>162</v>
      </c>
      <c r="J99" s="3" t="s">
        <v>385</v>
      </c>
      <c r="K99" s="3" t="s">
        <v>58</v>
      </c>
      <c r="L99" s="3" t="s">
        <v>454</v>
      </c>
      <c r="M99" s="3" t="s">
        <v>455</v>
      </c>
      <c r="N99" s="3" t="s">
        <v>66</v>
      </c>
      <c r="O99" s="3" t="s">
        <v>169</v>
      </c>
      <c r="P99" s="3" t="s">
        <v>68</v>
      </c>
      <c r="Q99" s="3"/>
      <c r="R99" s="3" t="s">
        <v>386</v>
      </c>
      <c r="S99" s="3"/>
      <c r="T99" s="3" t="s">
        <v>456</v>
      </c>
      <c r="U99" s="3"/>
      <c r="V99" s="4" t="n">
        <v>4</v>
      </c>
      <c r="W99" s="4"/>
      <c r="X99" s="4" t="n">
        <v>7</v>
      </c>
      <c r="Y99" s="4" t="n">
        <v>10</v>
      </c>
      <c r="Z99" s="4" t="n">
        <v>10</v>
      </c>
      <c r="AA99" s="4" t="n">
        <v>7</v>
      </c>
      <c r="AB99" s="4" t="n">
        <v>40</v>
      </c>
      <c r="AC99" s="5" t="n">
        <v>99999</v>
      </c>
      <c r="AD99" s="3" t="s">
        <v>165</v>
      </c>
      <c r="AE99" s="6" t="n">
        <v>22841.4983333333</v>
      </c>
      <c r="AF99" s="5" t="n">
        <v>164</v>
      </c>
      <c r="AG99" s="5" t="n">
        <v>1317</v>
      </c>
      <c r="AH99" s="3" t="s">
        <v>457</v>
      </c>
      <c r="AI99" s="6" t="n">
        <v>1778.5761</v>
      </c>
      <c r="AJ99" s="7"/>
      <c r="AK99" s="5" t="n">
        <v>99999</v>
      </c>
      <c r="AL99" s="4" t="n">
        <f aca="false">(IF(AC99=99999,0,AC99))+((IF(AF99=99999,0,AF99))/AE99)+AG99+(AJ99/AI99)+(IF(AK99=99999,0,AK99))</f>
        <v>1317.00717991428</v>
      </c>
      <c r="AM99" s="4" t="n">
        <f aca="false">AL99+AB99</f>
        <v>1357.00717991428</v>
      </c>
      <c r="AN99" s="8" t="s">
        <v>385</v>
      </c>
      <c r="AO99" s="8" t="s">
        <v>455</v>
      </c>
      <c r="AP99" s="24" t="e">
        <f aca="false">(IF((F99="Port to Port"),(IF(AND(AC99=99999,OR(AF99="",AF99=99999),AG99="",AJ99="",AK99=99999,#REF!="",#REF!="",#REF!="",#REF!="",#REF!="",#REF!="",AN99&lt;&gt;"",#REF!&lt;&gt;"",#REF!="",#REF!="",AO99&lt;&gt;"",#REF!&lt;&gt;"",#REF!="",#REF!="",#REF!="",#REF!=""),"No Bid",IF(AND(AC99=99999,OR(AF99&lt;&gt;"",AF99=99999),AG99&lt;&gt;"",AJ99&lt;&gt;"",AK99=99999,#REF!&lt;&gt;"",#REF!&lt;&gt;"",#REF!&lt;&gt;"",#REF!&lt;&gt;"",#REF!&lt;&gt;"",#REF!&lt;&gt;"",AN99&lt;&gt;"",#REF!&lt;&gt;"",#REF!="",#REF!="",AO99&lt;&gt;"",#REF!&lt;&gt;"",#REF!="",#REF!="",#REF!&lt;&gt;"",(IF((OR(#REF!="No Trans-Shipments",#REF!="")),(AND(#REF!="",#REF!="")),(IF(#REF!="1 Trans-Shipment",(AND(#REF!&lt;&gt;"",#REF!="")),(AND(#REF!&lt;&gt;"",#REF!&lt;&gt;"")))))),#REF!&lt;&gt;""),"Complete Bid","Incomplete Bid")))))</f>
        <v>#REF!</v>
      </c>
      <c r="AQ99" s="25" t="n">
        <f aca="false">(IF((F99="Door to Port"),(IF(AND(AC99="",AF99="",AG99="",AJ99="",AK99=99999,#REF!="",#REF!="",#REF!="",#REF!="",#REF!="",#REF!="",AN99="",#REF!="",#REF!="",#REF!="",AO99&lt;&gt;"",#REF!&lt;&gt;"",#REF!="",#REF!="",#REF!="",#REF!=""),"No Bid",IF(AND(AC99&lt;&gt;"",AF99&lt;&gt;"",AG99&lt;&gt;"",AJ99&lt;&gt;"",AK99=99999,#REF!&lt;&gt;"",#REF!&lt;&gt;"",#REF!&lt;&gt;"",#REF!&lt;&gt;"",#REF!&lt;&gt;"",#REF!&lt;&gt;"",AN99&lt;&gt;"",#REF!&lt;&gt;"",OR(#REF!="",#REF!&lt;&gt;""),#REF!&lt;&gt;"",AO99&lt;&gt;"",#REF!&lt;&gt;"",#REF!="",#REF!="",#REF!&lt;&gt;"",(IF((OR((#REF!="No Trans-Shipments"),(#REF!=""))),(AND(#REF!="",#REF!="")),(IF(#REF!="1 Trans-Shipment",(AND(#REF!&lt;&gt;"",#REF!="")),(AND(#REF!&lt;&gt;"",#REF!&lt;&gt;"")))))),#REF!&lt;&gt;""),"Complete Bid","Incomplete Bid")))))</f>
        <v>0</v>
      </c>
      <c r="AR99" s="25" t="n">
        <f aca="false">(IF((F99="Port to Door"),(IF(AND(AC99=99999,OR(AF99="",AF99=99999),AG99="",AJ99="",AK99="",#REF!="",#REF!="",#REF!="",#REF!="",#REF!="",#REF!="",AN99&lt;&gt;"",#REF!&lt;&gt;"",#REF!="",#REF!="",AO99="",#REF!="",#REF!="",#REF!="",#REF!="",#REF!=""),"No Bid",IF(AND(AC99=99999,OR(AF99&lt;&gt;"",AF99=99999),AG99&lt;&gt;"",AJ99&lt;&gt;"",AK99&lt;&gt;"",#REF!&lt;&gt;"",#REF!&lt;&gt;"",#REF!&lt;&gt;"",#REF!&lt;&gt;"",#REF!&lt;&gt;"",#REF!&lt;&gt;"",AN99&lt;&gt;"",#REF!&lt;&gt;"",#REF!="",#REF!="",AO99&lt;&gt;"",#REF!&lt;&gt;"",OR(#REF!&lt;&gt;"",#REF!=""),#REF!&lt;&gt;"",#REF!&lt;&gt;"",(IF((OR(#REF!="No Trans-Shipments",#REF!="")),(AND(#REF!="",#REF!="")),(IF(#REF!="1 Trans-Shipment",(AND(#REF!&lt;&gt;"",#REF!="")),(AND(#REF!&lt;&gt;"",#REF!&lt;&gt;"")))))),#REF!&lt;&gt;""),"Complete Bid","Incomplete Bid")))))</f>
        <v>0</v>
      </c>
      <c r="AS99" s="25" t="n">
        <f aca="false">(IF((F99="Door to Door"),(IF(AND(AC99="",AF99="",AG99="",AJ99="",AK99="",#REF!="",#REF!="",#REF!="",#REF!="",#REF!="",#REF!="",AN99="",#REF!="",#REF!="",#REF!="",AO99="",#REF!="",#REF!="",#REF!="",#REF!="",#REF!=""),"No Bid",IF(AND(AC99&lt;&gt;"",AF99&lt;&gt;"",AG99&lt;&gt;"",AJ99&lt;&gt;"",AK99&lt;&gt;"",#REF!&lt;&gt;"",#REF!&lt;&gt;"",#REF!&lt;&gt;"",#REF!&lt;&gt;"",#REF!&lt;&gt;"",#REF!&lt;&gt;"",AN99&lt;&gt;"",#REF!&lt;&gt;"",OR(#REF!&lt;&gt;"",#REF!=""),#REF!&lt;&gt;"",AO99&lt;&gt;"",#REF!&lt;&gt;"",OR(#REF!&lt;&gt;"",#REF!=""),#REF!&lt;&gt;"",#REF!&lt;&gt;"",(IF((OR(#REF!="No Trans-Shipments",#REF!="")),(AND(#REF!="",#REF!="")),(IF(#REF!="1 Trans-Shipment",(AND(#REF!&lt;&gt;"",#REF!="")),(AND(#REF!&lt;&gt;"",#REF!&lt;&gt;"")))))),#REF!&lt;&gt;""),"Complete Bid","Incomplete Bid")))))</f>
        <v>0</v>
      </c>
    </row>
    <row r="1048576" customFormat="false" ht="12.8" hidden="false" customHeight="true" outlineLevel="0" collapsed="false"/>
  </sheetData>
  <autoFilter ref="B5:AS99"/>
  <conditionalFormatting sqref="AC1 AC5:AC99">
    <cfRule type="expression" priority="2" aboveAverage="0" equalAverage="0" bottom="0" percent="0" rank="0" text="" dxfId="6">
      <formula>AND(AC1=99999,AC1&lt;&gt;"")</formula>
    </cfRule>
  </conditionalFormatting>
  <conditionalFormatting sqref="AK1 AK5:AK99">
    <cfRule type="expression" priority="3" aboveAverage="0" equalAverage="0" bottom="0" percent="0" rank="0" text="" dxfId="6">
      <formula>AND(AK1=99999,AK1&lt;&gt;"")</formula>
    </cfRule>
  </conditionalFormatting>
  <conditionalFormatting sqref="AF1 AF5:AF99">
    <cfRule type="expression" priority="4" aboveAverage="0" equalAverage="0" bottom="0" percent="0" rank="0" text="" dxfId="6">
      <formula>AND(AF1=99999,AF1&lt;&gt;"")</formula>
    </cfRule>
  </conditionalFormatting>
  <dataValidations count="5">
    <dataValidation allowBlank="true" errorStyle="stop" operator="between" prompt=" - " showDropDown="false" showErrorMessage="true" showInputMessage="true" sqref="AF5:AF99" type="decimal">
      <formula1>-1E+307</formula1>
      <formula2>1E+308</formula2>
    </dataValidation>
    <dataValidation allowBlank="true" errorStyle="stop" operator="between" prompt=" - " showDropDown="false" showErrorMessage="true" showInputMessage="true" sqref="AP5:AS99 AN67:AN72" type="custom">
      <formula1>lte(LEN(#ref!),(32767))</formula1>
      <formula2>0</formula2>
    </dataValidation>
    <dataValidation allowBlank="true" errorStyle="stop" operator="greaterThanOrEqual" prompt=" - " showDropDown="false" showErrorMessage="true" showInputMessage="true" sqref="AJ5:AJ99" type="decimal">
      <formula1>0.0001</formula1>
      <formula2>0</formula2>
    </dataValidation>
    <dataValidation allowBlank="true" errorStyle="stop" operator="lessThanOrEqual" prompt=" - " showDropDown="false" showErrorMessage="true" showInputMessage="true" sqref="AG5:AG99 AL5:AL99" type="decimal">
      <formula1>50000</formula1>
      <formula2>0</formula2>
    </dataValidation>
    <dataValidation allowBlank="true" errorStyle="stop" operator="greaterThanOrEqual" prompt=" - " showDropDown="false" showErrorMessage="true" showInputMessage="true" sqref="AC67:AC72" type="decimal">
      <formula1>0.01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J:AJ A1"/>
    </sheetView>
  </sheetViews>
  <sheetFormatPr defaultColWidth="12.640625" defaultRowHeight="15" zeroHeight="false" outlineLevelRow="0" outlineLevelCol="0"/>
  <sheetData>
    <row r="1" customFormat="false" ht="12.75" hidden="false" customHeight="true" outlineLevel="0" collapsed="false">
      <c r="A1" s="2" t="s">
        <v>458</v>
      </c>
      <c r="B1" s="2" t="s">
        <v>459</v>
      </c>
      <c r="C1" s="2" t="s">
        <v>112</v>
      </c>
    </row>
    <row r="2" customFormat="false" ht="12.75" hidden="false" customHeight="true" outlineLevel="0" collapsed="false">
      <c r="A2" s="2" t="s">
        <v>460</v>
      </c>
      <c r="B2" s="2" t="s">
        <v>461</v>
      </c>
      <c r="C2" s="2" t="s">
        <v>71</v>
      </c>
    </row>
    <row r="3" customFormat="false" ht="12.75" hidden="false" customHeight="true" outlineLevel="0" collapsed="false">
      <c r="A3" s="2" t="s">
        <v>462</v>
      </c>
      <c r="B3" s="2" t="s">
        <v>463</v>
      </c>
      <c r="C3" s="2" t="s">
        <v>103</v>
      </c>
    </row>
    <row r="4" customFormat="false" ht="12.75" hidden="false" customHeight="true" outlineLevel="0" collapsed="false">
      <c r="B4" s="2" t="s">
        <v>464</v>
      </c>
      <c r="C4" s="2" t="s">
        <v>141</v>
      </c>
    </row>
    <row r="5" customFormat="false" ht="12.75" hidden="false" customHeight="true" outlineLevel="0" collapsed="false">
      <c r="C5" s="2" t="s">
        <v>72</v>
      </c>
    </row>
    <row r="6" customFormat="false" ht="12.75" hidden="false" customHeight="true" outlineLevel="0" collapsed="false">
      <c r="C6" s="2" t="s">
        <v>137</v>
      </c>
    </row>
    <row r="7" customFormat="false" ht="12.75" hidden="false" customHeight="true" outlineLevel="0" collapsed="false">
      <c r="C7" s="2" t="s">
        <v>75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637</TotalTime>
  <Application>LibreOffice/7.3.6.2$Linux_X86_64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2015-10-06T15:36:59Z</dcterms:created>
  <dc:creator>Trade Extensions Sourcing Service 5.20</dc:creator>
  <dc:description/>
  <dc:language>en-IN</dc:language>
  <cp:lastModifiedBy/>
  <dcterms:modified xsi:type="dcterms:W3CDTF">2023-05-17T17:55:13Z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Footer Text|Public</vt:lpwstr>
  </property>
  <property fmtid="{D5CDD505-2E9C-101B-9397-08002B2CF9AE}" pid="3" name="KCAutoClass">
    <vt:lpwstr>Public</vt:lpwstr>
  </property>
  <property fmtid="{D5CDD505-2E9C-101B-9397-08002B2CF9AE}" pid="4" name="MSIP_Label_723f826d-dd3d-47cb-bf18-698ba24faae4_Application">
    <vt:lpwstr>Microsoft Azure Information Protection</vt:lpwstr>
  </property>
  <property fmtid="{D5CDD505-2E9C-101B-9397-08002B2CF9AE}" pid="5" name="MSIP_Label_723f826d-dd3d-47cb-bf18-698ba24faae4_Enabled">
    <vt:lpwstr>True</vt:lpwstr>
  </property>
  <property fmtid="{D5CDD505-2E9C-101B-9397-08002B2CF9AE}" pid="6" name="MSIP_Label_723f826d-dd3d-47cb-bf18-698ba24faae4_Extended_MSFT_Method">
    <vt:lpwstr>Automatic</vt:lpwstr>
  </property>
  <property fmtid="{D5CDD505-2E9C-101B-9397-08002B2CF9AE}" pid="7" name="MSIP_Label_723f826d-dd3d-47cb-bf18-698ba24faae4_Name">
    <vt:lpwstr>Public</vt:lpwstr>
  </property>
  <property fmtid="{D5CDD505-2E9C-101B-9397-08002B2CF9AE}" pid="8" name="MSIP_Label_723f826d-dd3d-47cb-bf18-698ba24faae4_Owner">
    <vt:lpwstr>Leo.Hilzendeger@kcc.com</vt:lpwstr>
  </property>
  <property fmtid="{D5CDD505-2E9C-101B-9397-08002B2CF9AE}" pid="9" name="MSIP_Label_723f826d-dd3d-47cb-bf18-698ba24faae4_SetDate">
    <vt:lpwstr>2018-12-04T18:36:08.2124081Z</vt:lpwstr>
  </property>
  <property fmtid="{D5CDD505-2E9C-101B-9397-08002B2CF9AE}" pid="10" name="MSIP_Label_723f826d-dd3d-47cb-bf18-698ba24faae4_SiteId">
    <vt:lpwstr>fee2180b-69b6-4afe-9f14-ccd70bd4c737</vt:lpwstr>
  </property>
  <property fmtid="{D5CDD505-2E9C-101B-9397-08002B2CF9AE}" pid="11" name="_IQPDocumentId">
    <vt:lpwstr>f304a3d9-8517-47a9-8598-c5491ba423ce</vt:lpwstr>
  </property>
  <property fmtid="{D5CDD505-2E9C-101B-9397-08002B2CF9AE}" pid="12" name="_SIProp12DataClass+afd04e05-3b3f-44a5-b4c2-6f79df4837e2">
    <vt:lpwstr>v=1.2&gt;I=afd04e05-3b3f-44a5-b4c2-6f79df4837e2&amp;N=Footer+Text&amp;V=1.3&amp;U=System&amp;D=System&amp;A=Associated&amp;H=False</vt:lpwstr>
  </property>
  <property fmtid="{D5CDD505-2E9C-101B-9397-08002B2CF9AE}" pid="13" name="_SIProp12DataClass+d0f83994-0ff6-437e-8641-14a692c6c102">
    <vt:lpwstr>v=1.2&gt;I=d0f83994-0ff6-437e-8641-14a692c6c102&amp;N=Public&amp;V=1.3&amp;U=S-1-5-21-73153925-784800294-903097961-10957849&amp;D=Hilzendeger%2c+Leo&amp;A=Associated&amp;H=False</vt:lpwstr>
  </property>
</Properties>
</file>