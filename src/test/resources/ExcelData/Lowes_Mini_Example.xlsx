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es" sheetId="1" state="visible" r:id="rId2"/>
  </sheets>
  <externalReferences>
    <externalReference r:id="rId3"/>
  </externalReferences>
  <definedNames>
    <definedName function="false" hidden="false" name="DV_NAMED_LIST_RANGES_0" vbProcedure="false">[1]DV_NAMED_LIST_RANGES!$A$1:$A$2</definedName>
    <definedName function="false" hidden="false" name="DV_NAMED_LIST_RANGES_1" vbProcedure="false">[1]DV_NAMED_LIST_RANGES!$B$1:$B$4</definedName>
    <definedName function="false" hidden="false" name="DV_NAMED_LIST_RANGES_2" vbProcedure="false">[1]DV_NAMED_LIST_RANGES!$C$1:$C$2</definedName>
    <definedName function="false" hidden="false" name="DV_NAMED_LIST_RANGES_3" vbProcedure="false">[1]DV_NAMED_LIST_RANGES!$D$1:$D$2</definedName>
    <definedName function="false" hidden="false" localSheetId="0" name="_xlnm._FilterDatabase" vbProcedure="false">lanes!$A$6:$L$6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<sst xmlns="http://schemas.openxmlformats.org/spreadsheetml/2006/main" count="247" uniqueCount="90">
  <si>
    <t xml:space="preserve">LOWES MINI BID 2021</t>
  </si>
  <si>
    <t xml:space="preserve">Truckload.  Dry/Flat - US</t>
  </si>
  <si>
    <t xml:space="preserve">PLEASE BID ON ALL INTERESTED LANES AND FILL IN TOTAL CHARGE FIELD</t>
  </si>
  <si>
    <t xml:space="preserve">IF YOU ARE NOT INTERESTED IN BIDDING ON AN ITEM, LEAVE ALL FIELDS BLANK.</t>
  </si>
  <si>
    <t xml:space="preserve">Provider to Fill in only these columns</t>
  </si>
  <si>
    <t xml:space="preserve">Shipper Lane ID</t>
  </si>
  <si>
    <t xml:space="preserve">Origin City</t>
  </si>
  <si>
    <t xml:space="preserve">Origin St</t>
  </si>
  <si>
    <t xml:space="preserve">Origin Zip Code</t>
  </si>
  <si>
    <t xml:space="preserve">Destination City</t>
  </si>
  <si>
    <t xml:space="preserve">Destination St</t>
  </si>
  <si>
    <t xml:space="preserve">Destination Zip Code</t>
  </si>
  <si>
    <t xml:space="preserve">Equipment</t>
  </si>
  <si>
    <t xml:space="preserve">Mileage</t>
  </si>
  <si>
    <t xml:space="preserve">Commodity</t>
  </si>
  <si>
    <t xml:space="preserve">Service Type</t>
  </si>
  <si>
    <t xml:space="preserve">Expected Shipment Volume</t>
  </si>
  <si>
    <t xml:space="preserve">Transit Time</t>
  </si>
  <si>
    <t xml:space="preserve">Origin Hours</t>
  </si>
  <si>
    <t xml:space="preserve">Destination Hours</t>
  </si>
  <si>
    <t xml:space="preserve">Total Charge(USD)</t>
  </si>
  <si>
    <t xml:space="preserve">Commitment(Loads/Week)</t>
  </si>
  <si>
    <t xml:space="preserve">Jackson</t>
  </si>
  <si>
    <t xml:space="preserve">MO</t>
  </si>
  <si>
    <t xml:space="preserve">MOUNT PLEASANT</t>
  </si>
  <si>
    <t xml:space="preserve">IA</t>
  </si>
  <si>
    <t xml:space="preserve">Dry Van</t>
  </si>
  <si>
    <t xml:space="preserve">Consumer Goods</t>
  </si>
  <si>
    <t xml:space="preserve">Single Driver</t>
  </si>
  <si>
    <t xml:space="preserve">06:00-16:30 M-F</t>
  </si>
  <si>
    <t xml:space="preserve">BROOKHAVEN</t>
  </si>
  <si>
    <t xml:space="preserve">MS</t>
  </si>
  <si>
    <t xml:space="preserve">08:00-18:00 M-F</t>
  </si>
  <si>
    <t xml:space="preserve">WEST BRANCH</t>
  </si>
  <si>
    <t xml:space="preserve">SUMNER</t>
  </si>
  <si>
    <t xml:space="preserve">WA</t>
  </si>
  <si>
    <t xml:space="preserve">06:00-15:00 M-F</t>
  </si>
  <si>
    <t xml:space="preserve">VANDALIA</t>
  </si>
  <si>
    <t xml:space="preserve">OH</t>
  </si>
  <si>
    <t xml:space="preserve">HERMISTON</t>
  </si>
  <si>
    <t xml:space="preserve">OR</t>
  </si>
  <si>
    <t xml:space="preserve">00:00-14:00 M-F, 22:00-23:00 Sun</t>
  </si>
  <si>
    <t xml:space="preserve">GRANTSVILLE</t>
  </si>
  <si>
    <t xml:space="preserve">UT</t>
  </si>
  <si>
    <t xml:space="preserve">06:00-14:30 M-F</t>
  </si>
  <si>
    <t xml:space="preserve">LIMA</t>
  </si>
  <si>
    <t xml:space="preserve">CHARITON</t>
  </si>
  <si>
    <t xml:space="preserve">07:00-16:00 M-F</t>
  </si>
  <si>
    <t xml:space="preserve">CHEROKEE</t>
  </si>
  <si>
    <t xml:space="preserve">08:00-17:00 M-F</t>
  </si>
  <si>
    <t xml:space="preserve">MARIANNA</t>
  </si>
  <si>
    <t xml:space="preserve">FL</t>
  </si>
  <si>
    <t xml:space="preserve">08:00-17:00 T-F, 06:00-17:00 M</t>
  </si>
  <si>
    <t xml:space="preserve">SCHODACK LANDING</t>
  </si>
  <si>
    <t xml:space="preserve">NY</t>
  </si>
  <si>
    <t xml:space="preserve">06:00-14:00 M-F</t>
  </si>
  <si>
    <t xml:space="preserve">GREENCASTLE</t>
  </si>
  <si>
    <t xml:space="preserve">PA</t>
  </si>
  <si>
    <t xml:space="preserve">SOUTH DUNN</t>
  </si>
  <si>
    <t xml:space="preserve">NC</t>
  </si>
  <si>
    <t xml:space="preserve">07:00-14:30 M-W-F, 06:00-14:30 T-T</t>
  </si>
  <si>
    <t xml:space="preserve">SALISBURY</t>
  </si>
  <si>
    <t xml:space="preserve">Flatbed</t>
  </si>
  <si>
    <t xml:space="preserve">00:00-23:59 M-F, 23:00-23:59 Sun</t>
  </si>
  <si>
    <t xml:space="preserve">DISPUTANTA</t>
  </si>
  <si>
    <t xml:space="preserve">VA</t>
  </si>
  <si>
    <t xml:space="preserve">07:00-23:00 M-F</t>
  </si>
  <si>
    <t xml:space="preserve">ELLOREE</t>
  </si>
  <si>
    <t xml:space="preserve">SC</t>
  </si>
  <si>
    <t xml:space="preserve">GREENWOOD</t>
  </si>
  <si>
    <t xml:space="preserve">IN</t>
  </si>
  <si>
    <t xml:space="preserve">07:00-21:00 M-F</t>
  </si>
  <si>
    <t xml:space="preserve">DOVER</t>
  </si>
  <si>
    <t xml:space="preserve">DE</t>
  </si>
  <si>
    <t xml:space="preserve">HAZLETON</t>
  </si>
  <si>
    <t xml:space="preserve">TUNKHANNOCK</t>
  </si>
  <si>
    <t xml:space="preserve">RIVERSIDE</t>
  </si>
  <si>
    <t xml:space="preserve">CA</t>
  </si>
  <si>
    <t xml:space="preserve">JACKSONVILLE</t>
  </si>
  <si>
    <t xml:space="preserve">WILMER</t>
  </si>
  <si>
    <t xml:space="preserve">TX</t>
  </si>
  <si>
    <t xml:space="preserve">TRACY</t>
  </si>
  <si>
    <t xml:space="preserve">00:00-16:30 M-F</t>
  </si>
  <si>
    <t xml:space="preserve">MADISON</t>
  </si>
  <si>
    <t xml:space="preserve">AL</t>
  </si>
  <si>
    <t xml:space="preserve">08:00-19:00 M-F</t>
  </si>
  <si>
    <t xml:space="preserve">CULLMAN</t>
  </si>
  <si>
    <t xml:space="preserve">BESSEMER</t>
  </si>
  <si>
    <t xml:space="preserve">07:00-14:30 M-F</t>
  </si>
  <si>
    <t xml:space="preserve">MC CALLA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</si>
</sst>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1"/>
    </font>
    <font>
      <sz val="18"/>
      <color rgb="FFFFFFFF"/>
      <name val="Calibri"/>
      <family val="2"/>
      <charset val="1"/>
    </font>
    <font>
      <b val="true"/>
      <sz val="18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name val="Verdan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E3ECF8"/>
        <bgColor rgb="FFD9E5E7"/>
      </patternFill>
    </fill>
    <fill>
      <patternFill patternType="solid">
        <fgColor rgb="FFD9E5E7"/>
        <bgColor rgb="FFE3ECF8"/>
      </patternFill>
    </fill>
    <fill>
      <patternFill patternType="solid">
        <fgColor rgb="FFC3CCD8"/>
        <bgColor rgb="FFBFBFB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6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6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3ECF8"/>
      <rgbColor rgb="FF660066"/>
      <rgbColor rgb="FFFF8080"/>
      <rgbColor rgb="FF0066CC"/>
      <rgbColor rgb="FFC3CC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5E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me/qbuser/eclipse-workspace/WinmoreAutomation/qa-automation-suite/src/test/resources/TestUploadingFiles/Users/jeffhiller/Documents/Requirements/RateIA/ML_Pricing%20Automation/ML_POC%20Examples/TL_RateFilePOC/Group2/Bids-2020-05-13%2001.34PM-AVERITT%20EXPRESS%20INC-2020%20Cummins%20Truckload%20and%20Intermoda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Conditional Bid Fields"/>
      <sheetName val="Truckload Round Trip_Multi-Run_"/>
      <sheetName val="DV_NAMED_LIST_RANGES"/>
      <sheetName val="Truckload - US"/>
    </sheetNames>
    <sheetDataSet>
      <sheetData sheetId="0"/>
      <sheetData sheetId="1"/>
      <sheetData sheetId="2"/>
      <sheetData sheetId="3"/>
      <sheetData sheetId="4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N1048576"/>
  <sheetViews>
    <sheetView showFormulas="false" showGridLines="true" showRowColHeaders="true" showZeros="true" rightToLeft="false" tabSelected="true" showOutlineSymbols="true" defaultGridColor="true" view="normal" topLeftCell="A37" colorId="64" zoomScale="91" zoomScaleNormal="91" zoomScalePageLayoutView="100" workbookViewId="0">
      <selection pane="topLeft" activeCell="A66" activeCellId="0" sqref="A66"/>
    </sheetView>
  </sheetViews>
  <sheetFormatPr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2.33"/>
    <col collapsed="false" customWidth="true" hidden="false" outlineLevel="0" max="4" min="4" style="0" width="15"/>
    <col collapsed="false" customWidth="true" hidden="false" outlineLevel="0" max="5" min="5" style="0" width="18.5"/>
    <col collapsed="false" customWidth="true" hidden="false" outlineLevel="0" max="6" min="6" style="0" width="12"/>
    <col collapsed="false" customWidth="true" hidden="false" outlineLevel="0" max="7" min="7" style="0" width="12.16"/>
    <col collapsed="false" customWidth="true" hidden="false" outlineLevel="0" max="8" min="8" style="0" width="14"/>
    <col collapsed="false" customWidth="true" hidden="false" outlineLevel="0" max="9" min="9" style="0" width="10.66"/>
    <col collapsed="false" customWidth="true" hidden="false" outlineLevel="0" max="10" min="10" style="0" width="17"/>
    <col collapsed="false" customWidth="true" hidden="false" outlineLevel="0" max="11" min="11" style="0" width="10"/>
    <col collapsed="false" customWidth="true" hidden="false" outlineLevel="0" max="12" min="12" style="0" width="17.5"/>
    <col collapsed="false" customWidth="true" hidden="false" outlineLevel="0" max="13" min="13" style="0" width="8.34"/>
    <col collapsed="false" customWidth="true" hidden="false" outlineLevel="0" max="14" min="14" style="0" width="37.5"/>
    <col collapsed="false" customWidth="true" hidden="false" outlineLevel="0" max="15" min="15" style="0" width="37"/>
    <col collapsed="false" customWidth="true" hidden="false" outlineLevel="0" max="16" min="16" style="1" width="22.34"/>
    <col collapsed="false" customWidth="true" hidden="false" outlineLevel="0" max="17" min="17" style="1" width="26.33"/>
    <col collapsed="false" customWidth="true" hidden="false" outlineLevel="0" max="1025" min="18" style="0" width="10.5"/>
  </cols>
  <sheetData>
    <row r="1" s="3" customFormat="true" ht="34" hidden="false" customHeight="true" outlineLevel="0" collapsed="false">
      <c r="A1" s="2" t="s">
        <v>0</v>
      </c>
      <c r="B1" s="2"/>
      <c r="C1" s="2"/>
      <c r="D1" s="2"/>
      <c r="E1" s="2"/>
      <c r="F1" s="2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customFormat="false" ht="15" hidden="false" customHeight="false" outlineLevel="0" collapsed="false">
      <c r="A2" s="6" t="s">
        <v>1</v>
      </c>
      <c r="B2" s="7"/>
      <c r="C2" s="7"/>
      <c r="D2" s="7"/>
      <c r="E2" s="7"/>
      <c r="F2" s="7"/>
      <c r="G2" s="7"/>
      <c r="H2" s="7"/>
    </row>
    <row r="3" customFormat="false" ht="16" hidden="false" customHeight="true" outlineLevel="0" collapsed="false">
      <c r="A3" s="8" t="s">
        <v>2</v>
      </c>
      <c r="B3" s="8"/>
      <c r="C3" s="8"/>
      <c r="D3" s="7"/>
      <c r="E3" s="7"/>
      <c r="F3" s="7"/>
      <c r="G3" s="7"/>
      <c r="H3" s="7"/>
    </row>
    <row r="4" customFormat="false" ht="16" hidden="false" customHeight="true" outlineLevel="0" collapsed="false">
      <c r="A4" s="9" t="s">
        <v>3</v>
      </c>
      <c r="B4" s="9"/>
      <c r="C4" s="9"/>
      <c r="D4" s="9"/>
      <c r="E4" s="9"/>
      <c r="F4" s="9"/>
      <c r="G4" s="9"/>
      <c r="H4" s="9"/>
    </row>
    <row r="5" customFormat="false" ht="22.0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P5" s="11" t="s">
        <v>4</v>
      </c>
      <c r="Q5" s="11"/>
    </row>
    <row r="6" s="14" customFormat="true" ht="40" hidden="false" customHeight="true" outlineLevel="0" collapsed="false">
      <c r="A6" s="12" t="s">
        <v>5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  <c r="H6" s="12" t="s">
        <v>12</v>
      </c>
      <c r="I6" s="12" t="s">
        <v>13</v>
      </c>
      <c r="J6" s="12" t="s">
        <v>14</v>
      </c>
      <c r="K6" s="12" t="s">
        <v>15</v>
      </c>
      <c r="L6" s="12" t="s">
        <v>16</v>
      </c>
      <c r="M6" s="12" t="s">
        <v>17</v>
      </c>
      <c r="N6" s="12" t="s">
        <v>18</v>
      </c>
      <c r="O6" s="12" t="s">
        <v>19</v>
      </c>
      <c r="P6" s="13" t="s">
        <v>20</v>
      </c>
      <c r="Q6" s="13" t="s">
        <v>21</v>
      </c>
    </row>
    <row r="7" s="15" customFormat="true" ht="24" hidden="false" customHeight="true" outlineLevel="0" collapsed="false">
      <c r="A7" s="15" t="n">
        <v>3113</v>
      </c>
      <c r="B7" s="16" t="s">
        <v>22</v>
      </c>
      <c r="C7" s="16" t="s">
        <v>23</v>
      </c>
      <c r="D7" s="16" t="n">
        <v>10055</v>
      </c>
      <c r="E7" s="16" t="s">
        <v>24</v>
      </c>
      <c r="F7" s="16" t="s">
        <v>25</v>
      </c>
      <c r="G7" s="16" t="n">
        <v>76541</v>
      </c>
      <c r="H7" s="17" t="s">
        <v>26</v>
      </c>
      <c r="I7" s="16" t="n">
        <v>304</v>
      </c>
      <c r="J7" s="17" t="s">
        <v>27</v>
      </c>
      <c r="K7" s="15" t="s">
        <v>28</v>
      </c>
      <c r="L7" s="18" t="n">
        <v>175</v>
      </c>
      <c r="M7" s="15" t="n">
        <f aca="false">ROUNDUP((I7/500),0)</f>
        <v>1</v>
      </c>
      <c r="N7" s="19" t="s">
        <v>29</v>
      </c>
      <c r="O7" s="19" t="s">
        <v>29</v>
      </c>
      <c r="P7" s="20"/>
      <c r="Q7" s="20"/>
    </row>
    <row r="8" s="15" customFormat="true" ht="24" hidden="false" customHeight="true" outlineLevel="0" collapsed="false">
      <c r="A8" s="15" t="n">
        <v>3114</v>
      </c>
      <c r="B8" s="21" t="s">
        <v>22</v>
      </c>
      <c r="C8" s="21" t="s">
        <v>23</v>
      </c>
      <c r="D8" s="21" t="n">
        <v>10055</v>
      </c>
      <c r="E8" s="21" t="s">
        <v>30</v>
      </c>
      <c r="F8" s="21" t="s">
        <v>31</v>
      </c>
      <c r="G8" s="21" t="n">
        <v>76501</v>
      </c>
      <c r="H8" s="17" t="s">
        <v>26</v>
      </c>
      <c r="I8" s="21" t="n">
        <v>442</v>
      </c>
      <c r="J8" s="17" t="s">
        <v>27</v>
      </c>
      <c r="K8" s="15" t="s">
        <v>28</v>
      </c>
      <c r="L8" s="22" t="n">
        <v>226</v>
      </c>
      <c r="M8" s="15" t="n">
        <f aca="false">ROUNDUP((I8/500),0)</f>
        <v>1</v>
      </c>
      <c r="N8" s="23" t="s">
        <v>32</v>
      </c>
      <c r="O8" s="23" t="s">
        <v>32</v>
      </c>
      <c r="P8" s="24"/>
      <c r="Q8" s="24"/>
    </row>
    <row r="9" s="15" customFormat="true" ht="24" hidden="false" customHeight="true" outlineLevel="0" collapsed="false">
      <c r="A9" s="15" t="n">
        <v>3115</v>
      </c>
      <c r="B9" s="25" t="s">
        <v>33</v>
      </c>
      <c r="C9" s="25" t="s">
        <v>25</v>
      </c>
      <c r="D9" s="25" t="n">
        <v>11258</v>
      </c>
      <c r="E9" s="25" t="s">
        <v>34</v>
      </c>
      <c r="F9" s="25" t="s">
        <v>35</v>
      </c>
      <c r="G9" s="25" t="n">
        <v>79990</v>
      </c>
      <c r="H9" s="17" t="s">
        <v>26</v>
      </c>
      <c r="I9" s="25" t="n">
        <v>1851</v>
      </c>
      <c r="J9" s="17" t="s">
        <v>27</v>
      </c>
      <c r="K9" s="15" t="s">
        <v>28</v>
      </c>
      <c r="L9" s="26" t="n">
        <v>619</v>
      </c>
      <c r="M9" s="15" t="n">
        <f aca="false">ROUNDUP((I9/500),0)</f>
        <v>4</v>
      </c>
      <c r="N9" s="23" t="s">
        <v>36</v>
      </c>
      <c r="O9" s="23" t="s">
        <v>36</v>
      </c>
      <c r="P9" s="24"/>
      <c r="Q9" s="24"/>
    </row>
    <row r="10" s="15" customFormat="true" ht="24" hidden="false" customHeight="true" outlineLevel="0" collapsed="false">
      <c r="A10" s="15" t="n">
        <v>3116</v>
      </c>
      <c r="B10" s="21" t="s">
        <v>37</v>
      </c>
      <c r="C10" s="21" t="s">
        <v>38</v>
      </c>
      <c r="D10" s="21" t="n">
        <v>12277</v>
      </c>
      <c r="E10" s="21" t="s">
        <v>39</v>
      </c>
      <c r="F10" s="21" t="s">
        <v>40</v>
      </c>
      <c r="G10" s="21" t="n">
        <v>13338</v>
      </c>
      <c r="H10" s="17" t="s">
        <v>26</v>
      </c>
      <c r="I10" s="21" t="n">
        <v>2128</v>
      </c>
      <c r="J10" s="17" t="s">
        <v>27</v>
      </c>
      <c r="K10" s="15" t="s">
        <v>28</v>
      </c>
      <c r="L10" s="22" t="n">
        <v>156</v>
      </c>
      <c r="M10" s="15" t="n">
        <f aca="false">ROUNDUP((I10/500),0)</f>
        <v>5</v>
      </c>
      <c r="N10" s="23" t="s">
        <v>41</v>
      </c>
      <c r="O10" s="23" t="s">
        <v>41</v>
      </c>
      <c r="P10" s="24"/>
      <c r="Q10" s="24"/>
    </row>
    <row r="11" s="15" customFormat="true" ht="24" hidden="false" customHeight="true" outlineLevel="0" collapsed="false">
      <c r="A11" s="15" t="n">
        <v>3117</v>
      </c>
      <c r="B11" s="25" t="s">
        <v>37</v>
      </c>
      <c r="C11" s="25" t="s">
        <v>38</v>
      </c>
      <c r="D11" s="25" t="n">
        <v>45377</v>
      </c>
      <c r="E11" s="25" t="s">
        <v>42</v>
      </c>
      <c r="F11" s="25" t="s">
        <v>43</v>
      </c>
      <c r="G11" s="25" t="n">
        <v>84029</v>
      </c>
      <c r="H11" s="17" t="s">
        <v>26</v>
      </c>
      <c r="I11" s="25" t="n">
        <v>1626</v>
      </c>
      <c r="J11" s="17" t="s">
        <v>27</v>
      </c>
      <c r="K11" s="15" t="s">
        <v>28</v>
      </c>
      <c r="L11" s="26" t="n">
        <v>122</v>
      </c>
      <c r="M11" s="15" t="n">
        <f aca="false">ROUNDUP((I11/500),0)</f>
        <v>4</v>
      </c>
      <c r="N11" s="23" t="s">
        <v>44</v>
      </c>
      <c r="O11" s="23" t="s">
        <v>44</v>
      </c>
      <c r="P11" s="24"/>
      <c r="Q11" s="24"/>
    </row>
    <row r="12" s="15" customFormat="true" ht="24" hidden="false" customHeight="true" outlineLevel="0" collapsed="false">
      <c r="A12" s="15" t="n">
        <v>3118</v>
      </c>
      <c r="B12" s="21" t="s">
        <v>45</v>
      </c>
      <c r="C12" s="21" t="s">
        <v>38</v>
      </c>
      <c r="D12" s="21" t="n">
        <v>45801</v>
      </c>
      <c r="E12" s="21" t="s">
        <v>46</v>
      </c>
      <c r="F12" s="21" t="s">
        <v>25</v>
      </c>
      <c r="G12" s="21" t="n">
        <v>50049</v>
      </c>
      <c r="H12" s="17" t="s">
        <v>26</v>
      </c>
      <c r="I12" s="21" t="n">
        <v>525</v>
      </c>
      <c r="J12" s="17" t="s">
        <v>27</v>
      </c>
      <c r="K12" s="15" t="s">
        <v>28</v>
      </c>
      <c r="L12" s="22" t="n">
        <v>87</v>
      </c>
      <c r="M12" s="15" t="n">
        <f aca="false">ROUNDUP((I12/500),0)</f>
        <v>2</v>
      </c>
      <c r="N12" s="23" t="s">
        <v>47</v>
      </c>
      <c r="O12" s="23" t="s">
        <v>47</v>
      </c>
      <c r="P12" s="24"/>
      <c r="Q12" s="24"/>
    </row>
    <row r="13" s="15" customFormat="true" ht="24" hidden="false" customHeight="true" outlineLevel="0" collapsed="false">
      <c r="A13" s="15" t="n">
        <v>3119</v>
      </c>
      <c r="B13" s="25" t="s">
        <v>45</v>
      </c>
      <c r="C13" s="25" t="s">
        <v>38</v>
      </c>
      <c r="D13" s="25" t="n">
        <v>45801</v>
      </c>
      <c r="E13" s="25" t="s">
        <v>48</v>
      </c>
      <c r="F13" s="25" t="s">
        <v>25</v>
      </c>
      <c r="G13" s="25" t="n">
        <v>51012</v>
      </c>
      <c r="H13" s="17" t="s">
        <v>26</v>
      </c>
      <c r="I13" s="25" t="n">
        <v>664</v>
      </c>
      <c r="J13" s="17" t="s">
        <v>27</v>
      </c>
      <c r="K13" s="15" t="s">
        <v>28</v>
      </c>
      <c r="L13" s="26" t="n">
        <v>67</v>
      </c>
      <c r="M13" s="15" t="n">
        <f aca="false">ROUNDUP((I13/500),0)</f>
        <v>2</v>
      </c>
      <c r="N13" s="23" t="s">
        <v>49</v>
      </c>
      <c r="O13" s="23" t="s">
        <v>49</v>
      </c>
      <c r="P13" s="24"/>
      <c r="Q13" s="24"/>
    </row>
    <row r="14" s="15" customFormat="true" ht="24" hidden="false" customHeight="true" outlineLevel="0" collapsed="false">
      <c r="A14" s="15" t="n">
        <v>3120</v>
      </c>
      <c r="B14" s="21" t="s">
        <v>45</v>
      </c>
      <c r="C14" s="21" t="s">
        <v>38</v>
      </c>
      <c r="D14" s="21" t="n">
        <v>45801</v>
      </c>
      <c r="E14" s="25" t="s">
        <v>50</v>
      </c>
      <c r="F14" s="25" t="s">
        <v>51</v>
      </c>
      <c r="G14" s="25" t="n">
        <v>32448</v>
      </c>
      <c r="H14" s="17" t="s">
        <v>26</v>
      </c>
      <c r="I14" s="21" t="n">
        <v>756</v>
      </c>
      <c r="J14" s="17" t="s">
        <v>27</v>
      </c>
      <c r="K14" s="15" t="s">
        <v>28</v>
      </c>
      <c r="L14" s="22" t="n">
        <v>45</v>
      </c>
      <c r="M14" s="15" t="n">
        <f aca="false">ROUNDUP((I14/500),0)</f>
        <v>2</v>
      </c>
      <c r="N14" s="23" t="s">
        <v>52</v>
      </c>
      <c r="O14" s="23" t="s">
        <v>52</v>
      </c>
      <c r="P14" s="24"/>
      <c r="Q14" s="24"/>
    </row>
    <row r="15" s="15" customFormat="true" ht="24" hidden="false" customHeight="true" outlineLevel="0" collapsed="false">
      <c r="A15" s="15" t="n">
        <v>3121</v>
      </c>
      <c r="B15" s="25" t="s">
        <v>45</v>
      </c>
      <c r="C15" s="25" t="s">
        <v>38</v>
      </c>
      <c r="D15" s="25" t="n">
        <v>45801</v>
      </c>
      <c r="E15" s="25" t="s">
        <v>53</v>
      </c>
      <c r="F15" s="25" t="s">
        <v>54</v>
      </c>
      <c r="G15" s="25" t="n">
        <v>12156</v>
      </c>
      <c r="H15" s="17" t="s">
        <v>26</v>
      </c>
      <c r="I15" s="25" t="n">
        <v>630</v>
      </c>
      <c r="J15" s="17" t="s">
        <v>27</v>
      </c>
      <c r="K15" s="15" t="s">
        <v>28</v>
      </c>
      <c r="L15" s="26" t="n">
        <v>71</v>
      </c>
      <c r="M15" s="15" t="n">
        <f aca="false">ROUNDUP((I15/500),0)</f>
        <v>2</v>
      </c>
      <c r="N15" s="23" t="s">
        <v>55</v>
      </c>
      <c r="O15" s="23" t="s">
        <v>55</v>
      </c>
      <c r="P15" s="24"/>
      <c r="Q15" s="24"/>
    </row>
    <row r="16" s="15" customFormat="true" ht="24" hidden="false" customHeight="true" outlineLevel="0" collapsed="false">
      <c r="A16" s="15" t="n">
        <v>3122</v>
      </c>
      <c r="B16" s="21" t="s">
        <v>45</v>
      </c>
      <c r="C16" s="21" t="s">
        <v>38</v>
      </c>
      <c r="D16" s="21" t="n">
        <v>45801</v>
      </c>
      <c r="E16" s="21" t="s">
        <v>56</v>
      </c>
      <c r="F16" s="21" t="s">
        <v>57</v>
      </c>
      <c r="G16" s="21" t="n">
        <v>17225</v>
      </c>
      <c r="H16" s="17" t="s">
        <v>26</v>
      </c>
      <c r="I16" s="21" t="n">
        <v>407</v>
      </c>
      <c r="J16" s="17" t="s">
        <v>27</v>
      </c>
      <c r="K16" s="15" t="s">
        <v>28</v>
      </c>
      <c r="L16" s="22" t="n">
        <v>92</v>
      </c>
      <c r="M16" s="15" t="n">
        <f aca="false">ROUNDUP((I16/500),0)</f>
        <v>1</v>
      </c>
      <c r="N16" s="23" t="s">
        <v>36</v>
      </c>
      <c r="O16" s="23" t="s">
        <v>36</v>
      </c>
      <c r="P16" s="24"/>
      <c r="Q16" s="24"/>
    </row>
    <row r="17" s="15" customFormat="true" ht="24" hidden="false" customHeight="true" outlineLevel="0" collapsed="false">
      <c r="A17" s="15" t="n">
        <v>3123</v>
      </c>
      <c r="B17" s="25" t="s">
        <v>45</v>
      </c>
      <c r="C17" s="25" t="s">
        <v>38</v>
      </c>
      <c r="D17" s="25" t="n">
        <v>45801</v>
      </c>
      <c r="E17" s="25" t="s">
        <v>58</v>
      </c>
      <c r="F17" s="25" t="s">
        <v>59</v>
      </c>
      <c r="G17" s="25" t="n">
        <v>28334</v>
      </c>
      <c r="H17" s="17" t="s">
        <v>26</v>
      </c>
      <c r="I17" s="25" t="n">
        <v>596</v>
      </c>
      <c r="J17" s="17" t="s">
        <v>27</v>
      </c>
      <c r="K17" s="15" t="s">
        <v>28</v>
      </c>
      <c r="L17" s="26" t="n">
        <v>176</v>
      </c>
      <c r="M17" s="15" t="n">
        <f aca="false">ROUNDUP((I17/500),0)</f>
        <v>2</v>
      </c>
      <c r="N17" s="23" t="s">
        <v>60</v>
      </c>
      <c r="O17" s="23" t="s">
        <v>60</v>
      </c>
      <c r="P17" s="24"/>
      <c r="Q17" s="24"/>
    </row>
    <row r="18" s="15" customFormat="true" ht="24" hidden="false" customHeight="true" outlineLevel="0" collapsed="false">
      <c r="A18" s="15" t="n">
        <v>3124</v>
      </c>
      <c r="B18" s="21" t="s">
        <v>45</v>
      </c>
      <c r="C18" s="21" t="s">
        <v>38</v>
      </c>
      <c r="D18" s="21" t="n">
        <v>45801</v>
      </c>
      <c r="E18" s="21" t="s">
        <v>61</v>
      </c>
      <c r="F18" s="21" t="s">
        <v>59</v>
      </c>
      <c r="G18" s="21" t="n">
        <v>28147</v>
      </c>
      <c r="H18" s="17" t="s">
        <v>62</v>
      </c>
      <c r="I18" s="21" t="n">
        <v>492</v>
      </c>
      <c r="J18" s="17" t="s">
        <v>27</v>
      </c>
      <c r="K18" s="15" t="s">
        <v>28</v>
      </c>
      <c r="L18" s="22" t="n">
        <v>174</v>
      </c>
      <c r="M18" s="15" t="n">
        <f aca="false">ROUNDUP((I18/500),0)</f>
        <v>1</v>
      </c>
      <c r="N18" s="23" t="s">
        <v>63</v>
      </c>
      <c r="O18" s="23" t="s">
        <v>63</v>
      </c>
      <c r="P18" s="24"/>
      <c r="Q18" s="24"/>
    </row>
    <row r="19" s="15" customFormat="true" ht="24" hidden="false" customHeight="true" outlineLevel="0" collapsed="false">
      <c r="A19" s="15" t="n">
        <v>3125</v>
      </c>
      <c r="B19" s="25" t="s">
        <v>45</v>
      </c>
      <c r="C19" s="25" t="s">
        <v>38</v>
      </c>
      <c r="D19" s="25" t="n">
        <v>45801</v>
      </c>
      <c r="E19" s="25" t="s">
        <v>64</v>
      </c>
      <c r="F19" s="25" t="s">
        <v>65</v>
      </c>
      <c r="G19" s="25" t="n">
        <v>23842</v>
      </c>
      <c r="H19" s="17" t="s">
        <v>26</v>
      </c>
      <c r="I19" s="25" t="n">
        <v>565</v>
      </c>
      <c r="J19" s="17" t="s">
        <v>27</v>
      </c>
      <c r="K19" s="15" t="s">
        <v>28</v>
      </c>
      <c r="L19" s="26" t="n">
        <v>125</v>
      </c>
      <c r="M19" s="15" t="n">
        <f aca="false">ROUNDUP((I19/500),0)</f>
        <v>2</v>
      </c>
      <c r="N19" s="23" t="s">
        <v>66</v>
      </c>
      <c r="O19" s="23" t="s">
        <v>66</v>
      </c>
      <c r="P19" s="24"/>
      <c r="Q19" s="24"/>
    </row>
    <row r="20" s="15" customFormat="true" ht="24" hidden="false" customHeight="true" outlineLevel="0" collapsed="false">
      <c r="A20" s="15" t="n">
        <v>3126</v>
      </c>
      <c r="B20" s="21" t="s">
        <v>45</v>
      </c>
      <c r="C20" s="21" t="s">
        <v>38</v>
      </c>
      <c r="D20" s="21" t="n">
        <v>45801</v>
      </c>
      <c r="E20" s="21" t="s">
        <v>67</v>
      </c>
      <c r="F20" s="21" t="s">
        <v>68</v>
      </c>
      <c r="G20" s="21" t="n">
        <v>29047</v>
      </c>
      <c r="H20" s="17" t="s">
        <v>26</v>
      </c>
      <c r="I20" s="21" t="n">
        <v>641</v>
      </c>
      <c r="J20" s="17" t="s">
        <v>27</v>
      </c>
      <c r="K20" s="15" t="s">
        <v>28</v>
      </c>
      <c r="L20" s="22" t="n">
        <v>83</v>
      </c>
      <c r="M20" s="15" t="n">
        <f aca="false">ROUNDUP((I20/500),0)</f>
        <v>2</v>
      </c>
      <c r="N20" s="23" t="s">
        <v>29</v>
      </c>
      <c r="O20" s="23" t="s">
        <v>29</v>
      </c>
      <c r="P20" s="24"/>
      <c r="Q20" s="24"/>
    </row>
    <row r="21" s="15" customFormat="true" ht="24" hidden="false" customHeight="true" outlineLevel="0" collapsed="false">
      <c r="A21" s="15" t="n">
        <v>3127</v>
      </c>
      <c r="B21" s="25" t="s">
        <v>37</v>
      </c>
      <c r="C21" s="25" t="s">
        <v>38</v>
      </c>
      <c r="D21" s="25" t="n">
        <v>45377</v>
      </c>
      <c r="E21" s="25" t="s">
        <v>30</v>
      </c>
      <c r="F21" s="25" t="s">
        <v>31</v>
      </c>
      <c r="G21" s="25" t="n">
        <v>39601</v>
      </c>
      <c r="H21" s="17" t="s">
        <v>26</v>
      </c>
      <c r="I21" s="25" t="n">
        <v>774</v>
      </c>
      <c r="J21" s="17" t="s">
        <v>27</v>
      </c>
      <c r="K21" s="15" t="s">
        <v>28</v>
      </c>
      <c r="L21" s="26" t="n">
        <v>52</v>
      </c>
      <c r="M21" s="15" t="n">
        <f aca="false">ROUNDUP((I21/500),0)</f>
        <v>2</v>
      </c>
      <c r="N21" s="23" t="s">
        <v>66</v>
      </c>
      <c r="O21" s="23" t="s">
        <v>66</v>
      </c>
      <c r="P21" s="24"/>
      <c r="Q21" s="24"/>
    </row>
    <row r="22" s="15" customFormat="true" ht="24" hidden="false" customHeight="true" outlineLevel="0" collapsed="false">
      <c r="A22" s="15" t="n">
        <v>3128</v>
      </c>
      <c r="B22" s="21" t="s">
        <v>22</v>
      </c>
      <c r="C22" s="21" t="s">
        <v>23</v>
      </c>
      <c r="D22" s="21" t="n">
        <v>63755</v>
      </c>
      <c r="E22" s="21" t="s">
        <v>69</v>
      </c>
      <c r="F22" s="21" t="s">
        <v>70</v>
      </c>
      <c r="G22" s="21" t="n">
        <v>46143</v>
      </c>
      <c r="H22" s="17" t="s">
        <v>62</v>
      </c>
      <c r="I22" s="21" t="n">
        <v>352</v>
      </c>
      <c r="J22" s="17" t="s">
        <v>27</v>
      </c>
      <c r="K22" s="15" t="s">
        <v>28</v>
      </c>
      <c r="L22" s="22" t="n">
        <v>16</v>
      </c>
      <c r="M22" s="15" t="n">
        <f aca="false">ROUNDUP((I22/500),0)</f>
        <v>1</v>
      </c>
      <c r="N22" s="23" t="s">
        <v>71</v>
      </c>
      <c r="O22" s="23" t="s">
        <v>71</v>
      </c>
      <c r="P22" s="24"/>
      <c r="Q22" s="24"/>
    </row>
    <row r="23" s="15" customFormat="true" ht="24" hidden="false" customHeight="true" outlineLevel="0" collapsed="false">
      <c r="A23" s="15" t="n">
        <v>3129</v>
      </c>
      <c r="B23" s="25" t="s">
        <v>72</v>
      </c>
      <c r="C23" s="25" t="s">
        <v>73</v>
      </c>
      <c r="D23" s="25" t="n">
        <v>19904</v>
      </c>
      <c r="E23" s="25" t="s">
        <v>74</v>
      </c>
      <c r="F23" s="25" t="s">
        <v>57</v>
      </c>
      <c r="G23" s="25" t="n">
        <v>18202</v>
      </c>
      <c r="H23" s="17" t="s">
        <v>62</v>
      </c>
      <c r="I23" s="25" t="n">
        <v>152</v>
      </c>
      <c r="J23" s="17" t="s">
        <v>27</v>
      </c>
      <c r="K23" s="15" t="s">
        <v>28</v>
      </c>
      <c r="L23" s="26" t="n">
        <v>16</v>
      </c>
      <c r="M23" s="15" t="n">
        <f aca="false">ROUNDUP((I23/500),0)</f>
        <v>1</v>
      </c>
      <c r="N23" s="23" t="s">
        <v>36</v>
      </c>
      <c r="O23" s="23" t="s">
        <v>36</v>
      </c>
      <c r="P23" s="24"/>
      <c r="Q23" s="24"/>
    </row>
    <row r="24" s="15" customFormat="true" ht="24" hidden="false" customHeight="true" outlineLevel="0" collapsed="false">
      <c r="A24" s="15" t="n">
        <v>3130</v>
      </c>
      <c r="B24" s="21" t="s">
        <v>75</v>
      </c>
      <c r="C24" s="21" t="s">
        <v>57</v>
      </c>
      <c r="D24" s="21" t="n">
        <v>18657</v>
      </c>
      <c r="E24" s="21" t="s">
        <v>76</v>
      </c>
      <c r="F24" s="21" t="s">
        <v>77</v>
      </c>
      <c r="G24" s="21" t="n">
        <v>92518</v>
      </c>
      <c r="H24" s="17" t="s">
        <v>26</v>
      </c>
      <c r="I24" s="21" t="n">
        <v>2634</v>
      </c>
      <c r="J24" s="17" t="s">
        <v>27</v>
      </c>
      <c r="K24" s="15" t="s">
        <v>28</v>
      </c>
      <c r="L24" s="22" t="n">
        <v>26</v>
      </c>
      <c r="M24" s="15" t="n">
        <f aca="false">ROUNDUP((I24/500),0)</f>
        <v>6</v>
      </c>
      <c r="N24" s="23" t="s">
        <v>52</v>
      </c>
      <c r="O24" s="23" t="s">
        <v>52</v>
      </c>
      <c r="P24" s="24"/>
      <c r="Q24" s="24"/>
    </row>
    <row r="25" s="15" customFormat="true" ht="24" hidden="false" customHeight="true" outlineLevel="0" collapsed="false">
      <c r="A25" s="15" t="n">
        <v>3131</v>
      </c>
      <c r="B25" s="25" t="s">
        <v>75</v>
      </c>
      <c r="C25" s="25" t="s">
        <v>57</v>
      </c>
      <c r="D25" s="25" t="n">
        <v>18657</v>
      </c>
      <c r="E25" s="25" t="s">
        <v>78</v>
      </c>
      <c r="F25" s="25" t="s">
        <v>51</v>
      </c>
      <c r="G25" s="25" t="n">
        <v>32221</v>
      </c>
      <c r="H25" s="17" t="s">
        <v>26</v>
      </c>
      <c r="I25" s="25" t="n">
        <v>953</v>
      </c>
      <c r="J25" s="17" t="s">
        <v>27</v>
      </c>
      <c r="K25" s="15" t="s">
        <v>28</v>
      </c>
      <c r="L25" s="26" t="n">
        <v>28</v>
      </c>
      <c r="M25" s="15" t="n">
        <f aca="false">ROUNDUP((I25/500),0)</f>
        <v>2</v>
      </c>
      <c r="N25" s="23" t="s">
        <v>49</v>
      </c>
      <c r="O25" s="23" t="s">
        <v>49</v>
      </c>
      <c r="P25" s="24"/>
      <c r="Q25" s="24"/>
    </row>
    <row r="26" s="15" customFormat="true" ht="24" hidden="false" customHeight="true" outlineLevel="0" collapsed="false">
      <c r="A26" s="15" t="n">
        <v>3132</v>
      </c>
      <c r="B26" s="21" t="s">
        <v>79</v>
      </c>
      <c r="C26" s="21" t="s">
        <v>80</v>
      </c>
      <c r="D26" s="21" t="n">
        <v>75172</v>
      </c>
      <c r="E26" s="21" t="s">
        <v>81</v>
      </c>
      <c r="F26" s="21" t="s">
        <v>77</v>
      </c>
      <c r="G26" s="21" t="n">
        <v>95377</v>
      </c>
      <c r="H26" s="17" t="s">
        <v>26</v>
      </c>
      <c r="I26" s="21" t="n">
        <v>1689</v>
      </c>
      <c r="J26" s="17" t="s">
        <v>27</v>
      </c>
      <c r="K26" s="15" t="s">
        <v>28</v>
      </c>
      <c r="L26" s="22" t="n">
        <v>78</v>
      </c>
      <c r="M26" s="15" t="n">
        <f aca="false">ROUNDUP((I26/500),0)</f>
        <v>4</v>
      </c>
      <c r="N26" s="23" t="s">
        <v>82</v>
      </c>
      <c r="O26" s="23" t="s">
        <v>82</v>
      </c>
      <c r="P26" s="24"/>
      <c r="Q26" s="24"/>
    </row>
    <row r="27" s="15" customFormat="true" ht="24" hidden="false" customHeight="true" outlineLevel="0" collapsed="false">
      <c r="A27" s="15" t="n">
        <v>3133</v>
      </c>
      <c r="B27" s="25" t="s">
        <v>37</v>
      </c>
      <c r="C27" s="25" t="s">
        <v>38</v>
      </c>
      <c r="D27" s="25" t="n">
        <v>45377</v>
      </c>
      <c r="E27" s="25" t="s">
        <v>83</v>
      </c>
      <c r="F27" s="25" t="s">
        <v>84</v>
      </c>
      <c r="G27" s="25" t="n">
        <v>35756</v>
      </c>
      <c r="H27" s="17" t="s">
        <v>26</v>
      </c>
      <c r="I27" s="25" t="n">
        <v>438</v>
      </c>
      <c r="J27" s="17" t="s">
        <v>27</v>
      </c>
      <c r="K27" s="15" t="s">
        <v>28</v>
      </c>
      <c r="L27" s="26" t="n">
        <v>55</v>
      </c>
      <c r="M27" s="15" t="n">
        <f aca="false">ROUNDUP((I27/500),0)</f>
        <v>1</v>
      </c>
      <c r="N27" s="23" t="s">
        <v>85</v>
      </c>
      <c r="O27" s="23" t="s">
        <v>85</v>
      </c>
      <c r="P27" s="24"/>
      <c r="Q27" s="24"/>
    </row>
    <row r="28" s="15" customFormat="true" ht="24" hidden="false" customHeight="true" outlineLevel="0" collapsed="false">
      <c r="A28" s="15" t="n">
        <v>3134</v>
      </c>
      <c r="B28" s="21" t="s">
        <v>37</v>
      </c>
      <c r="C28" s="21" t="s">
        <v>38</v>
      </c>
      <c r="D28" s="21" t="n">
        <v>45377</v>
      </c>
      <c r="E28" s="21" t="s">
        <v>86</v>
      </c>
      <c r="F28" s="21" t="s">
        <v>84</v>
      </c>
      <c r="G28" s="21" t="n">
        <v>35055</v>
      </c>
      <c r="H28" s="17" t="s">
        <v>26</v>
      </c>
      <c r="I28" s="21" t="n">
        <v>475</v>
      </c>
      <c r="J28" s="17" t="s">
        <v>27</v>
      </c>
      <c r="K28" s="15" t="s">
        <v>28</v>
      </c>
      <c r="L28" s="22" t="n">
        <v>87</v>
      </c>
      <c r="M28" s="15" t="n">
        <f aca="false">ROUNDUP((I28/500),0)</f>
        <v>1</v>
      </c>
      <c r="N28" s="23" t="s">
        <v>49</v>
      </c>
      <c r="O28" s="23" t="s">
        <v>49</v>
      </c>
      <c r="P28" s="24"/>
      <c r="Q28" s="24"/>
    </row>
    <row r="29" s="15" customFormat="true" ht="24" hidden="false" customHeight="true" outlineLevel="0" collapsed="false">
      <c r="A29" s="15" t="n">
        <v>3135</v>
      </c>
      <c r="B29" s="25" t="s">
        <v>37</v>
      </c>
      <c r="C29" s="25" t="s">
        <v>38</v>
      </c>
      <c r="D29" s="25" t="n">
        <v>45377</v>
      </c>
      <c r="E29" s="25" t="s">
        <v>87</v>
      </c>
      <c r="F29" s="25" t="s">
        <v>84</v>
      </c>
      <c r="G29" s="25" t="n">
        <v>35022</v>
      </c>
      <c r="H29" s="17" t="s">
        <v>26</v>
      </c>
      <c r="I29" s="25" t="n">
        <v>535</v>
      </c>
      <c r="J29" s="17" t="s">
        <v>27</v>
      </c>
      <c r="K29" s="15" t="s">
        <v>28</v>
      </c>
      <c r="L29" s="26" t="n">
        <v>43</v>
      </c>
      <c r="M29" s="15" t="n">
        <f aca="false">ROUNDUP((I29/500),0)</f>
        <v>2</v>
      </c>
      <c r="N29" s="23" t="s">
        <v>88</v>
      </c>
      <c r="O29" s="23" t="s">
        <v>88</v>
      </c>
      <c r="P29" s="24"/>
      <c r="Q29" s="24"/>
    </row>
    <row r="30" s="15" customFormat="true" ht="24" hidden="false" customHeight="true" outlineLevel="0" collapsed="false">
      <c r="A30" s="15" t="n">
        <v>3136</v>
      </c>
      <c r="B30" s="21" t="s">
        <v>37</v>
      </c>
      <c r="C30" s="21" t="s">
        <v>38</v>
      </c>
      <c r="D30" s="21" t="n">
        <v>45377</v>
      </c>
      <c r="E30" s="21" t="s">
        <v>89</v>
      </c>
      <c r="F30" s="21" t="s">
        <v>84</v>
      </c>
      <c r="G30" s="21" t="n">
        <v>35111</v>
      </c>
      <c r="H30" s="17" t="s">
        <v>26</v>
      </c>
      <c r="I30" s="21" t="n">
        <v>541</v>
      </c>
      <c r="J30" s="17" t="s">
        <v>27</v>
      </c>
      <c r="K30" s="15" t="s">
        <v>28</v>
      </c>
      <c r="L30" s="22" t="n">
        <v>78</v>
      </c>
      <c r="M30" s="15" t="n">
        <f aca="false">ROUNDUP((I30/500),0)</f>
        <v>2</v>
      </c>
      <c r="N30" s="23" t="s">
        <v>36</v>
      </c>
      <c r="O30" s="23" t="s">
        <v>36</v>
      </c>
      <c r="P30" s="24"/>
      <c r="Q30" s="24"/>
    </row>
    <row r="31" s="15" customFormat="true" ht="24" hidden="false" customHeight="true" outlineLevel="0" collapsed="false">
      <c r="A31" s="15" t="n">
        <v>3137</v>
      </c>
      <c r="B31" s="25" t="s">
        <v>37</v>
      </c>
      <c r="C31" s="25" t="s">
        <v>38</v>
      </c>
      <c r="D31" s="25" t="n">
        <v>45377</v>
      </c>
      <c r="E31" s="25" t="s">
        <v>50</v>
      </c>
      <c r="F31" s="25" t="s">
        <v>51</v>
      </c>
      <c r="G31" s="25" t="n">
        <v>32448</v>
      </c>
      <c r="H31" s="17" t="s">
        <v>26</v>
      </c>
      <c r="I31" s="25" t="n">
        <v>739</v>
      </c>
      <c r="J31" s="17" t="s">
        <v>27</v>
      </c>
      <c r="K31" s="15" t="s">
        <v>28</v>
      </c>
      <c r="L31" s="26" t="n">
        <v>56</v>
      </c>
      <c r="M31" s="15" t="n">
        <f aca="false">ROUNDUP((I31/500),0)</f>
        <v>2</v>
      </c>
      <c r="N31" s="23" t="s">
        <v>66</v>
      </c>
      <c r="O31" s="23" t="s">
        <v>66</v>
      </c>
      <c r="P31" s="24"/>
      <c r="Q31" s="24"/>
    </row>
    <row r="1048576" customFormat="false" ht="12.8" hidden="false" customHeight="false" outlineLevel="0" collapsed="false"/>
  </sheetData>
  <mergeCells count="4">
    <mergeCell ref="A1:F1"/>
    <mergeCell ref="A3:C3"/>
    <mergeCell ref="A4:H4"/>
    <mergeCell ref="P5:Q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2021-04-25T23:24:27Z</dcterms:created>
  <dc:creator/>
  <dc:description/>
  <dc:language>en-IN</dc:language>
  <cp:lastModifiedBy/>
  <dcterms:modified xsi:type="dcterms:W3CDTF">2023-05-18T15:19:59Z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